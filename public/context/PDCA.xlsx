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min\Desktop\Mtto. Elab Corona\"/>
    </mc:Choice>
  </mc:AlternateContent>
  <xr:revisionPtr revIDLastSave="0" documentId="13_ncr:1_{95584D02-4DCE-4EB9-B314-A27ECE04A3D5}" xr6:coauthVersionLast="47" xr6:coauthVersionMax="47" xr10:uidLastSave="{00000000-0000-0000-0000-000000000000}"/>
  <bookViews>
    <workbookView xWindow="-119" yWindow="-119" windowWidth="20517" windowHeight="11045" xr2:uid="{10924C42-63D2-4B23-A1BD-0BC878CF4BCB}"/>
  </bookViews>
  <sheets>
    <sheet name="Hoja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29" i="1" l="1"/>
  <c r="N228" i="1"/>
  <c r="N227" i="1"/>
  <c r="N226" i="1"/>
  <c r="N225" i="1"/>
  <c r="N224" i="1"/>
  <c r="G155" i="1"/>
  <c r="F155" i="1"/>
  <c r="F156" i="1"/>
  <c r="F157" i="1"/>
  <c r="F158" i="1"/>
  <c r="F159" i="1"/>
  <c r="F160" i="1"/>
  <c r="F154" i="1"/>
  <c r="E161" i="1"/>
  <c r="D161" i="1"/>
  <c r="D130" i="1"/>
  <c r="C129" i="1"/>
  <c r="F79" i="1"/>
  <c r="F161" i="1" l="1"/>
  <c r="G154" i="1"/>
  <c r="G156" i="1"/>
  <c r="G161" i="1" s="1"/>
  <c r="G157" i="1"/>
  <c r="G158" i="1"/>
  <c r="G159" i="1"/>
  <c r="G16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"e991720 on FCBOFDE004" </author>
  </authors>
  <commentList>
    <comment ref="B33" authorId="0" shapeId="0" xr:uid="{93AE2254-0E59-46A3-AFDE-39B86B023DE6}">
      <text>
        <r>
          <rPr>
            <b/>
            <sz val="14"/>
            <color indexed="81"/>
            <rFont val="Calibri"/>
            <family val="2"/>
            <scheme val="minor"/>
          </rPr>
          <t>Reference the Benchmark brewery or area for your focus KPI/PI…both in your Zone and the Global benchmark. Reference the Global VPO Master Performance file on the Global Supply Portal for this information.</t>
        </r>
      </text>
    </comment>
    <comment ref="H33" authorId="0" shapeId="0" xr:uid="{C6384576-A3C6-4720-B3A5-14191F11DB22}">
      <text>
        <r>
          <rPr>
            <b/>
            <sz val="14"/>
            <color indexed="81"/>
            <rFont val="Calibri"/>
            <family val="2"/>
            <scheme val="minor"/>
          </rPr>
          <t>Higher if KPI is green when above target
Lower if KPI is green when below target</t>
        </r>
      </text>
    </comment>
  </commentList>
</comments>
</file>

<file path=xl/sharedStrings.xml><?xml version="1.0" encoding="utf-8"?>
<sst xmlns="http://schemas.openxmlformats.org/spreadsheetml/2006/main" count="215" uniqueCount="187">
  <si>
    <t>Cervecería/planta:</t>
  </si>
  <si>
    <t>CCZ</t>
  </si>
  <si>
    <t>Area(s):</t>
  </si>
  <si>
    <t>Brewing</t>
  </si>
  <si>
    <t>Fecha de inicio:</t>
  </si>
  <si>
    <t>TÍTULO DE PDCA/ITF:</t>
  </si>
  <si>
    <t xml:space="preserve">DISMINUCIÓN DE LA PÉRDIDA DE EXTRACTO EN BLOQUE FRÍO </t>
  </si>
  <si>
    <t>DESCRIPCIÓN DEL PROBLEMA:</t>
  </si>
  <si>
    <t>Reducir el KPI de Pérdida de Extracto de Bloque Frío desde 2.58% hasta una meta de 2.35% y así cumplir con el sueño de planta para ser de Clase Mundial.</t>
  </si>
  <si>
    <t>DEFINICIÓN DE LA META</t>
  </si>
  <si>
    <t>KPI</t>
  </si>
  <si>
    <t>PÉRDIDA DE EXTRACTO</t>
  </si>
  <si>
    <t>PI (s)</t>
  </si>
  <si>
    <t xml:space="preserve">Extracción de levadura en reposo y extracción de levadura en fermentación </t>
  </si>
  <si>
    <t>MÉTODO DE CÁLCULO</t>
  </si>
  <si>
    <t>HANNA</t>
  </si>
  <si>
    <t>DESDE (Valor):</t>
  </si>
  <si>
    <t>A (Valor):</t>
  </si>
  <si>
    <t>Hasta (Fecha):</t>
  </si>
  <si>
    <t xml:space="preserve">                     UNIDAD DE MEDIDA:</t>
  </si>
  <si>
    <t>%</t>
  </si>
  <si>
    <t>BENCHMARK:</t>
  </si>
  <si>
    <t>MEJORA:</t>
  </si>
  <si>
    <t>lower</t>
  </si>
  <si>
    <t>RESPONSABLE:</t>
  </si>
  <si>
    <t xml:space="preserve">                      FACILITADOR/LÍDER:</t>
  </si>
  <si>
    <t>Jaime Lagunas</t>
  </si>
  <si>
    <t>PARTICIPANTES</t>
  </si>
  <si>
    <t>PARTICIPANTES LOCALES</t>
  </si>
  <si>
    <t>Axel Guillén Ramírez</t>
  </si>
  <si>
    <t>PAPEL/RESPONSABILIDAD EN ESTE EQUIPO:
(No el título del trabajo de la persona... ¿cuál es su rol en el equipo? Ejemplos... facilitador, analista de datos/experto en Excel, experto en la materia, perspectiva de primera línea, ojos externos, etc.)</t>
  </si>
  <si>
    <t>GERENTE DE ELABORACIÓN</t>
  </si>
  <si>
    <t>GERENTE DE BLOQUE FRÍO</t>
  </si>
  <si>
    <t>Karla Jimena Martínez Aguirre</t>
  </si>
  <si>
    <t>Becaria</t>
  </si>
  <si>
    <t>Semanal Miércoles 14:00 Hrs</t>
  </si>
  <si>
    <t>RECURSOS EXTERNOS</t>
  </si>
  <si>
    <t>PAPEL/RESPONSABILIDAD EN ESTE EQUIPO:
(No el título del trabajo de la persona... ¿cuál es su papel en el equipo? Ejemplos... Consultor, Fabricante Equipo Original, experto técnico para el tema xx, entrenador del método PDCA, etc)</t>
  </si>
  <si>
    <t>Fecha de la reunión inicial:</t>
  </si>
  <si>
    <t>Reunión de revisión de rutina:</t>
  </si>
  <si>
    <t>Fecha de finalización</t>
  </si>
  <si>
    <r>
      <rPr>
        <b/>
        <sz val="12"/>
        <color theme="0"/>
        <rFont val="Calibri"/>
        <family val="2"/>
        <scheme val="minor"/>
      </rPr>
      <t xml:space="preserve">Instrucciones: </t>
    </r>
    <r>
      <rPr>
        <sz val="12"/>
        <color theme="0"/>
        <rFont val="Calibri"/>
        <family val="2"/>
        <scheme val="minor"/>
      </rPr>
      <t xml:space="preserve">Revisar la situación actual con todos los miembros del equipo. Esto se puede hacer utilizando los dashboards de KPI, GapAs, T&amp;M slides, Análisis de pérdidas y desperdicios, etc. El objetivo es familiarizar a todos con el tema que se les pide que aborden. 
A partir de ahí, rellene las secciones de abajo. Evite las suposiciones y saltar a conclusiones. Es probable que regrese y perfeccione la descripción del problema, los KPI, los PI, el objetivo y los miembros del equipo. 
</t>
    </r>
  </si>
  <si>
    <t>Descripción del problema:
(se llena desde la pestaña Definición del Problema)</t>
  </si>
  <si>
    <t>Bloque Pilar Gestion:</t>
  </si>
  <si>
    <t>VPO Tool Checkpoint:</t>
  </si>
  <si>
    <t>Evidencias/comentarios:</t>
  </si>
  <si>
    <t>Status:</t>
  </si>
  <si>
    <t>Mapeo de procesos</t>
  </si>
  <si>
    <r>
      <t xml:space="preserve">¿Existe un mapa de procesos de nivel 4 (nivel de tareas) para el </t>
    </r>
    <r>
      <rPr>
        <b/>
        <i/>
        <sz val="11"/>
        <color rgb="FFFF0000"/>
        <rFont val="Calibri"/>
        <family val="2"/>
        <scheme val="minor"/>
      </rPr>
      <t>proceso afectado</t>
    </r>
    <r>
      <rPr>
        <b/>
        <sz val="11"/>
        <rFont val="Calibri"/>
        <family val="2"/>
        <scheme val="minor"/>
      </rPr>
      <t>?</t>
    </r>
  </si>
  <si>
    <t>YES</t>
  </si>
  <si>
    <t>Creación &amp; ejecución de estandares</t>
  </si>
  <si>
    <r>
      <t xml:space="preserve">¿Se han establecido los estandares operativos (SOP) para todas las tareas críticas de nivel 4 definidas en el mapa de procesos del </t>
    </r>
    <r>
      <rPr>
        <b/>
        <i/>
        <sz val="11"/>
        <color rgb="FFFF0000"/>
        <rFont val="Calibri"/>
        <family val="2"/>
        <scheme val="minor"/>
      </rPr>
      <t>proceso afectado</t>
    </r>
    <r>
      <rPr>
        <b/>
        <sz val="11"/>
        <rFont val="Calibri"/>
        <family val="2"/>
        <scheme val="minor"/>
      </rPr>
      <t>? ¿Se han establecido y ejecutado los mantenimientos planificados de alta calidad con la frecuencia adecuada para todos los</t>
    </r>
    <r>
      <rPr>
        <b/>
        <i/>
        <sz val="11"/>
        <color rgb="FFFF0000"/>
        <rFont val="Calibri"/>
        <family val="2"/>
        <scheme val="minor"/>
      </rPr>
      <t xml:space="preserve"> equipos afectados</t>
    </r>
    <r>
      <rPr>
        <b/>
        <sz val="11"/>
        <rFont val="Calibri"/>
        <family val="2"/>
        <scheme val="minor"/>
      </rPr>
      <t>?</t>
    </r>
  </si>
  <si>
    <r>
      <t>¿Se han realizado OWDs en los SOPs de tareas críticas</t>
    </r>
    <r>
      <rPr>
        <b/>
        <i/>
        <sz val="11"/>
        <color rgb="FFFF0000"/>
        <rFont val="Calibri"/>
        <family val="2"/>
        <scheme val="minor"/>
      </rPr>
      <t xml:space="preserve"> relacionadas con el Proceso afectado</t>
    </r>
    <r>
      <rPr>
        <b/>
        <sz val="11"/>
        <rFont val="Calibri"/>
        <family val="2"/>
        <scheme val="minor"/>
      </rPr>
      <t>?</t>
    </r>
  </si>
  <si>
    <t>Proceso de revisión de rutina</t>
  </si>
  <si>
    <r>
      <t xml:space="preserve">¿El </t>
    </r>
    <r>
      <rPr>
        <b/>
        <i/>
        <sz val="11"/>
        <color rgb="FFFF0000"/>
        <rFont val="Calibri"/>
        <family val="2"/>
        <scheme val="minor"/>
      </rPr>
      <t>producto/proceso afectado</t>
    </r>
    <r>
      <rPr>
        <b/>
        <sz val="11"/>
        <rFont val="Calibri"/>
        <family val="2"/>
        <scheme val="minor"/>
      </rPr>
      <t xml:space="preserve"> es monitoreado rutinariamente a través de checklists?</t>
    </r>
  </si>
  <si>
    <t>NO</t>
  </si>
  <si>
    <t>Gestión del conocimiento</t>
  </si>
  <si>
    <r>
      <t xml:space="preserve">¿Has implementado las GOPs </t>
    </r>
    <r>
      <rPr>
        <b/>
        <i/>
        <sz val="11"/>
        <color rgb="FFFF0000"/>
        <rFont val="Calibri"/>
        <family val="2"/>
        <scheme val="minor"/>
      </rPr>
      <t>relacionadas con tu problema KPI/PI o Proceso</t>
    </r>
    <r>
      <rPr>
        <b/>
        <sz val="11"/>
        <rFont val="Calibri"/>
        <family val="2"/>
        <scheme val="minor"/>
      </rPr>
      <t>?</t>
    </r>
  </si>
  <si>
    <t>5S</t>
  </si>
  <si>
    <r>
      <t xml:space="preserve">¿Están las 5S totalmente integradas en el </t>
    </r>
    <r>
      <rPr>
        <b/>
        <i/>
        <sz val="11"/>
        <color rgb="FFFF0000"/>
        <rFont val="Calibri"/>
        <family val="2"/>
        <scheme val="minor"/>
      </rPr>
      <t>área del problema, y específicamente para las tareas de trabajo asociadas con el problema</t>
    </r>
    <r>
      <rPr>
        <b/>
        <sz val="11"/>
        <rFont val="Calibri"/>
        <family val="2"/>
        <scheme val="minor"/>
      </rPr>
      <t>? ¿Se ha asignado el dueño de las 5S, se ha hecho un checklist diario y se han realizado auditorías mensualmente?</t>
    </r>
  </si>
  <si>
    <t>Indicadores de producto y proceso</t>
  </si>
  <si>
    <r>
      <t xml:space="preserve">¿Existe un árbol de </t>
    </r>
    <r>
      <rPr>
        <b/>
        <i/>
        <sz val="11"/>
        <color rgb="FFFF0000"/>
        <rFont val="Calibri"/>
        <family val="2"/>
        <scheme val="minor"/>
      </rPr>
      <t>KPI para el problema KPI o KPI relacionado con el problema P</t>
    </r>
    <r>
      <rPr>
        <b/>
        <sz val="11"/>
        <color rgb="FFFF0000"/>
        <rFont val="Calibri"/>
        <family val="2"/>
        <scheme val="minor"/>
      </rPr>
      <t>I</t>
    </r>
    <r>
      <rPr>
        <b/>
        <sz val="11"/>
        <rFont val="Calibri"/>
        <family val="2"/>
        <scheme val="minor"/>
      </rPr>
      <t>? ¿Es adecuado para mostrar todos los IP y SIC que impactan en el KPI?</t>
    </r>
  </si>
  <si>
    <r>
      <t xml:space="preserve">¿Existe un Indicador de Producto/Proceso (PI) para monitorear rutinariamente el </t>
    </r>
    <r>
      <rPr>
        <b/>
        <i/>
        <sz val="11"/>
        <color rgb="FFFF0000"/>
        <rFont val="Calibri"/>
        <family val="2"/>
        <scheme val="minor"/>
      </rPr>
      <t>Producto/Proceso afectado</t>
    </r>
    <r>
      <rPr>
        <b/>
        <sz val="11"/>
        <rFont val="Calibri"/>
        <family val="2"/>
        <scheme val="minor"/>
      </rPr>
      <t>? ¿Incluye el PI un plan de reacción a seguir si el PI alcanza el límite amarillo/rojo?</t>
    </r>
  </si>
  <si>
    <t>¿Se han utilizado los gráficos SIC para recopilar datos de todos los puntos de medición, y se han utilizado los datos para identificar/resolver la causa raíz del problema?</t>
  </si>
  <si>
    <t>Solución de problemas</t>
  </si>
  <si>
    <r>
      <t>¿Existen disparadores de 5-por qué y relatos de anomalías para tratar las desviaciones relacionadas con el</t>
    </r>
    <r>
      <rPr>
        <b/>
        <i/>
        <sz val="11"/>
        <color rgb="FFFF0000"/>
        <rFont val="Calibri"/>
        <family val="2"/>
        <scheme val="minor"/>
      </rPr>
      <t xml:space="preserve"> producto/proceso afectado</t>
    </r>
    <r>
      <rPr>
        <b/>
        <sz val="11"/>
        <rFont val="Calibri"/>
        <family val="2"/>
        <scheme val="minor"/>
      </rPr>
      <t>? ¿Se generan y completan los reportes de 5-por qué y relato de anomalías cuando se disparan los gatillos?</t>
    </r>
  </si>
  <si>
    <r>
      <t xml:space="preserve">¿Se revisa rutinariamente el </t>
    </r>
    <r>
      <rPr>
        <b/>
        <i/>
        <sz val="11"/>
        <color rgb="FFFF0000"/>
        <rFont val="Calibri"/>
        <family val="2"/>
        <scheme val="minor"/>
      </rPr>
      <t>producto/proceso afectado</t>
    </r>
    <r>
      <rPr>
        <b/>
        <sz val="11"/>
        <rFont val="Calibri"/>
        <family val="2"/>
        <scheme val="minor"/>
      </rPr>
      <t xml:space="preserve"> en el MCRS de tu departamento?</t>
    </r>
  </si>
  <si>
    <t>Descripción del negocio</t>
  </si>
  <si>
    <r>
      <t xml:space="preserve">¿Existe un Acuerdo de Nivel de Servicio definido y rastreado para el </t>
    </r>
    <r>
      <rPr>
        <b/>
        <i/>
        <sz val="11"/>
        <color rgb="FFFF0000"/>
        <rFont val="Calibri"/>
        <family val="2"/>
        <scheme val="minor"/>
      </rPr>
      <t>Producto/Proceso afectado</t>
    </r>
    <r>
      <rPr>
        <b/>
        <sz val="11"/>
        <rFont val="Calibri"/>
        <family val="2"/>
        <scheme val="minor"/>
      </rPr>
      <t>? (Consulte la Descripción de Negocio y Matriz de Criticidad)</t>
    </r>
  </si>
  <si>
    <t>Proceso de revisión del rendimiento</t>
  </si>
  <si>
    <r>
      <t xml:space="preserve">¿Se ha generado un GaPA para el </t>
    </r>
    <r>
      <rPr>
        <b/>
        <i/>
        <sz val="11"/>
        <color rgb="FFFF0000"/>
        <rFont val="Calibri"/>
        <family val="2"/>
        <scheme val="minor"/>
      </rPr>
      <t>KPI afectado</t>
    </r>
    <r>
      <rPr>
        <b/>
        <sz val="11"/>
        <rFont val="Calibri"/>
        <family val="2"/>
        <scheme val="minor"/>
      </rPr>
      <t>?</t>
    </r>
  </si>
  <si>
    <r>
      <t>¿Se ha utilizado el benchmarking interno/externo para identificar las mejores prácticas existentes en relación con el</t>
    </r>
    <r>
      <rPr>
        <b/>
        <i/>
        <sz val="11"/>
        <color rgb="FFFF0000"/>
        <rFont val="Calibri"/>
        <family val="2"/>
        <scheme val="minor"/>
      </rPr>
      <t xml:space="preserve"> producto o proceso afectado</t>
    </r>
    <r>
      <rPr>
        <b/>
        <sz val="11"/>
        <rFont val="Calibri"/>
        <family val="2"/>
        <scheme val="minor"/>
      </rPr>
      <t xml:space="preserve">? Tip: consulte el archivo Global VPO Master Performance para encontrar información de ranking de muchos KPI, tanto los de Sostenibilidad como otros de interés por departamento o categoría de VOP. </t>
    </r>
  </si>
  <si>
    <t>Guía</t>
  </si>
  <si>
    <t xml:space="preserve">Si el score es inferior al 70% - priorizar las acciones entre los miembros del equipo para cerrar las brechas en los puntos más relevantes del problema. Sin embargo, el equipo debe proceder en paralelo si los datos iniciales indican que hay otros aspectos del problema que estos items del SDCA no pueden abordar sin datos y análisis adicionales. </t>
  </si>
  <si>
    <t>Si el score es mayor al 70% - proceda directamente al resto de este toolkit. Cualquier brecha en los puntos anteriores puede asignarse como acciones para los miembros del equipo si es relevante para el problema y es probable que tenga un impacto. Utilice la matriz de impacto en la pestaña de action log, si es necesario, para ayudar a decidir si deben completarse o no.</t>
  </si>
  <si>
    <t>=B26</t>
  </si>
  <si>
    <t>Instrucciones:  Este checklist debe ser utilizado una vez que sepas algo acerca de tu problema - el desempeño reciente a través del gráfico de la Línea de Tiempo Actual, y potencialmente algunos de los principales contribuyentes (a través de los graficos de Pareto o el Análisis de Pérdidas y Desperdicios, por ejemplo, los datos 52-12-4). Una vez que hayas empezado a estrechar tu enfoque de resolución de problemas con estos datos iniciales, utiliza este checklist de SDCA en el contexto de lo que conoces hasta ahora. Este checklist puede revelar brechas con las herramientas de Fundamentos y Gestionar para Sostener que pueden ser cerradas rápidamente. Esto puede resultar en mejoras en el KPI/PI de tal manera que no necesite seguir adelante con los pasos del PDCA.  
Basado en tu problema y en lo que sabes sobre él, enfócate primero en los puntos de abajo que son más relevantes. Las acciones para cerrar cualquier brecha deben ser documentadas en el Plan de Acción dentro de este archivo. El equipo debe proceder con la recolección y análisis de datos adicionales en la fase del Plan mientras se completan estas acciones. Vuelve a este checklist a lo largo de las fases de Planificar, Hacer y Verificar a medida que tu esfuerzo de resolución de problemas evolucione.</t>
  </si>
  <si>
    <t>Checkpoint Progress</t>
  </si>
  <si>
    <t>PASO 1: PROBLEM STATEMENT</t>
  </si>
  <si>
    <t>PASO 2: PHASE SDCA CHECKLIST</t>
  </si>
  <si>
    <t>PASO 3: CURRENT TIME SERIES</t>
  </si>
  <si>
    <t>Instrucciones:                                                                                                                                                                                           1. Rellena el campo gris con su problema.
2. Completa  el período de tiempo con tu período de tiempo deseado (años, meses, semanas, días, etc.)
3. Rellena las columnas "Objetivo" y "Actual" con tus datos.</t>
  </si>
  <si>
    <t>PROBLEMA:</t>
  </si>
  <si>
    <t>Período de tiempo</t>
  </si>
  <si>
    <t>META</t>
  </si>
  <si>
    <t>ACTUAL</t>
  </si>
  <si>
    <t>Ene</t>
  </si>
  <si>
    <t>Feb</t>
  </si>
  <si>
    <t>Mar</t>
  </si>
  <si>
    <t>Abri</t>
  </si>
  <si>
    <t>May</t>
  </si>
  <si>
    <t>Jun</t>
  </si>
  <si>
    <t>Jul</t>
  </si>
  <si>
    <t>Ago</t>
  </si>
  <si>
    <t>Sep</t>
  </si>
  <si>
    <t>Oct</t>
  </si>
  <si>
    <t>Nov</t>
  </si>
  <si>
    <t>Dic</t>
  </si>
  <si>
    <t>YTD Target</t>
  </si>
  <si>
    <t>YTD Actual</t>
  </si>
  <si>
    <t>PASO 4: KPI TREE</t>
  </si>
  <si>
    <t>Insertar arbol de indicadores</t>
  </si>
  <si>
    <t>PASO 5: PARETO</t>
  </si>
  <si>
    <t>1. Utiliza la columna de categorías para identificar las formas de desglosar los KPI o IP en diferentes categorías. Este será tu eje X. Ejemplo: tipo de equipo.
2.  Introduce tus datos para cada categoría en la columna de datos. Nota: los datos deben estar en las mismas unidades. Ejemplo: tiempo de inactividad de cada tipo de equipo.
3. Una vez que hayas introducido todos tus datos, resalta las dos columnas, empezando por la primera fila de datos, y elige la opción de menú Insertar en la parte superior, luego Gráfico de estadísticas y finalmente la opción Pareto.
4. Puedes crear Paretos adicionales simplemente introduciendo nuevas categorías y datos debajo de tu conjunto de datos inicial, y luego repitiendo el paso 3 resaltando sólo tus nuevos datos.</t>
  </si>
  <si>
    <t>ÁREA</t>
  </si>
  <si>
    <t>NOMBRE DE VARIABLE</t>
  </si>
  <si>
    <t>GAP</t>
  </si>
  <si>
    <t>% INDIVIDUAL</t>
  </si>
  <si>
    <t>% ACUMULADO</t>
  </si>
  <si>
    <t>Cocimientos</t>
  </si>
  <si>
    <t>WBEL</t>
  </si>
  <si>
    <t>Cuartos frios</t>
  </si>
  <si>
    <t>CBEL</t>
  </si>
  <si>
    <t>Envasado</t>
  </si>
  <si>
    <t>PEL</t>
  </si>
  <si>
    <t>TOTAL</t>
  </si>
  <si>
    <t>TEL</t>
  </si>
  <si>
    <t>PASO 6: FISHBONE</t>
  </si>
  <si>
    <r>
      <t xml:space="preserve">1. Basándote en las conclusiones extraídas de los pasos anteriores para estrechar tu enfoque, define el tema que debe ser analizado, y será la "cabeza del pez". Nota: este NO debe ser el KPI que estás tratando de mejorar, sino más bien, el PI o aspecto del mismo al que has reducido tu enfoque.
2. Reunir un equipo y en base a una discusión, rellenar el diagrama con las causas levantadas, intentando separar las causas y subcausas según sus categorías. Si necesitas más espacio, añade filas o columnas para ampliar los tamaños de las casillas.
</t>
    </r>
    <r>
      <rPr>
        <b/>
        <sz val="12"/>
        <color rgb="FFC00000"/>
        <rFont val="Calibri"/>
        <family val="2"/>
        <scheme val="minor"/>
      </rPr>
      <t xml:space="preserve">Puedes dibujar una espina de pescado en un pizarrón en una sala de equipo y simplemente pegar una imagen de los resultados finales aquí. </t>
    </r>
    <r>
      <rPr>
        <sz val="12"/>
        <color theme="1" tint="0.249977111117893"/>
        <rFont val="Calibri"/>
        <family val="2"/>
        <scheme val="minor"/>
      </rPr>
      <t xml:space="preserve">
</t>
    </r>
    <r>
      <rPr>
        <sz val="12"/>
        <color theme="0"/>
        <rFont val="Calibri"/>
        <family val="2"/>
        <scheme val="minor"/>
      </rPr>
      <t xml:space="preserve">3. Recuerda... ¡esta es una herramienta para la lluvia de ideas! Cualquier cosa que se ponga en la Espina de Pescado debe ser validado como un contribuyente al problema o no. Esto se puede hacer con las otras herramientas del Paso 3, otros análisis de datos, DTOs, GEMBA, etc.
4. Para añadir sub-puntos, copia y pega un nuevo cuadro de texto
5. Las posibles causas rellenadas en el diagrama deben introducirse en el cuadro de prioridades que figura debajo de la Espina de pescado, donde se pueden priorizar para su posterior validación/confirmación de que efectivamente están contribuyendo al problema. Una vez confirmados como factores contribuyentes, el equipo debe trabajar para determinar sus causas fundamentales, ya sea mediante el uso de un proceso de 5-Por qué u otro método de identificación de causas raíz.
</t>
    </r>
  </si>
  <si>
    <t>PROBLEMA 1 - ¡NO TU KPI! 
Lea el número 1 en las instrucciones de arriba.</t>
  </si>
  <si>
    <t>ALTA MERMA DE EXTRACCIONES DE LEVADURA EN REPOSO</t>
  </si>
  <si>
    <t>PRIORIZACIÓN - CAUSAS PROBABLES - PROBLEMA 1</t>
  </si>
  <si>
    <t>CAUSAS PROBABLES</t>
  </si>
  <si>
    <t>IMPACTO SOBRE EL PROBLEMA</t>
  </si>
  <si>
    <t>AUTORIDAD</t>
  </si>
  <si>
    <t>DIFICULTAD</t>
  </si>
  <si>
    <t>CRITERIO ADICIONAL</t>
  </si>
  <si>
    <t>CRITERIO</t>
  </si>
  <si>
    <t>BAJO  1</t>
  </si>
  <si>
    <t>PROMEDIO 3</t>
  </si>
  <si>
    <t>ALTO 5</t>
  </si>
  <si>
    <t>IMPACTO SOBRE EL RESULTADO</t>
  </si>
  <si>
    <t>Impacto bajo en el resultado</t>
  </si>
  <si>
    <t>Impacto medio en el resultado</t>
  </si>
  <si>
    <t>Alto impacto en el resultado</t>
  </si>
  <si>
    <t>AUTONOMÍA PARA INTERVENIR</t>
  </si>
  <si>
    <t>Sin autoridad (Capex o personal especialista)</t>
  </si>
  <si>
    <t>Alguna autoridad (mtto corrige o externo)</t>
  </si>
  <si>
    <t>Con toda la autoridad…(FLE Corrige)</t>
  </si>
  <si>
    <t>DIFICULTAD PARA ELIMINAR</t>
  </si>
  <si>
    <t>Dificultad alta</t>
  </si>
  <si>
    <t>Dificultad media</t>
  </si>
  <si>
    <t>Fácil de eliminar</t>
  </si>
  <si>
    <t>PASO 7: 5 WHYS</t>
  </si>
  <si>
    <t xml:space="preserve">"1. Empieza sólo con las causas probables priorizadas en la Matriz de Impacto en la pestaña de la Espina de Pez. Introduzca estas causas en la primera columna de cada fila como el "1er POR QUÉ"
2. La respuesta de cada POR QUÉ debe estar relacionada con la respuesta al POR QUÉ anterior.
3. Para aumentar o reducir el tamaño del gráfico, seleccione la categoría (es decir, el método) que desea ajustar y haga clic en "Añadir fila" o "Eliminar fila". 
4. Después de completar la tabla, anote el 5º POR QUÉ . Es la causa principal del problema. Basándose en la causa raíz identificada, defina la acción correctiva para la causa.
"     
</t>
  </si>
  <si>
    <t>MÉTODO</t>
  </si>
  <si>
    <t>TEMA 01</t>
  </si>
  <si>
    <t xml:space="preserve">Descripción del problema </t>
  </si>
  <si>
    <t xml:space="preserve">1er POR QUÉ </t>
  </si>
  <si>
    <t xml:space="preserve">2do POR QUÉ </t>
  </si>
  <si>
    <t xml:space="preserve">3er POR QUÉ </t>
  </si>
  <si>
    <t xml:space="preserve">4to POR QUÉ </t>
  </si>
  <si>
    <t xml:space="preserve">5to POR QUÉ </t>
  </si>
  <si>
    <t>ACCION(ES)</t>
  </si>
  <si>
    <t>EVIDENCIA</t>
  </si>
  <si>
    <t>PASO 8: ACTION PLAN</t>
  </si>
  <si>
    <t>1. MATRÍZ DE IMPACTO</t>
  </si>
  <si>
    <t xml:space="preserve">"1. Elegir la causa raíz eliminando las acciones a ser analizadas en base a los pasos anteriores. Esta matriz tiene como objetivo ayudarle a priorizar que items ejecutar antes que otros.
2.Evaluar las acciones en base a los criterios (Seguridad, Calidad, Costo, Medio Ambiente y Servicio). 3. Añada columnas o subcategorías para proporcionar el nivel de granularidad que necesita.
3. La columna "Resultado del impacto" se auto-poblará.
4. Defina qué acciones serán priorizadas y llene la última columna con SÍ o NO. Cuanto más alto sea el valor, más rápida debe ser la resolución. Añade las acciones priorizadas al registro de acciones".          
</t>
  </si>
  <si>
    <t>ACCION</t>
  </si>
  <si>
    <t>NIVEL DE IMPACTO</t>
  </si>
  <si>
    <t>PRIORITZAR
SÍ/NO</t>
  </si>
  <si>
    <t>SEGURIDAD</t>
  </si>
  <si>
    <t>CALIDAD/
HIGIENE</t>
  </si>
  <si>
    <t>COSTO</t>
  </si>
  <si>
    <t>MEDIO AMBIENTE</t>
  </si>
  <si>
    <t>SERVICIO</t>
  </si>
  <si>
    <t>RESULTADO DE IMPACTO</t>
  </si>
  <si>
    <t>Yes</t>
  </si>
  <si>
    <t>NOTA</t>
  </si>
  <si>
    <t>ALTO = 5</t>
  </si>
  <si>
    <t>IMPACTO ALTO</t>
  </si>
  <si>
    <t>MEDIO = 3</t>
  </si>
  <si>
    <t>IMPACTO MEDIO</t>
  </si>
  <si>
    <t>BAJO = 1</t>
  </si>
  <si>
    <t>IMPACTO BAJO</t>
  </si>
  <si>
    <t>2. PLAN DE ACCIÓN</t>
  </si>
  <si>
    <r>
      <t xml:space="preserve">"1. Use esto como cualquier otro registro de acción en su MCRS.
2. Si una acción particular tuvo éxito en la eliminación de un síntoma o causa de raíz, indique si se necesita una herramienta SDCA o necesita ser actualizada para estandarizar el resultado de una acción. Esto le ayudará en su fase de Actuación.
</t>
    </r>
    <r>
      <rPr>
        <i/>
        <sz val="11"/>
        <color rgb="FFFF0000"/>
        <rFont val="Calibri"/>
        <family val="2"/>
        <scheme val="minor"/>
      </rPr>
      <t>Nota: para permitir la capacidad de compartir este PDCA entre sitios y zonas, por favor use este registro de acciones, en lugar de InteracionLog u otra herramienta digital.
Atención! Incluso para cambios o pruebas temporales, DEBE seguir los procesos de Gestión de Cambios adecuados. Consulte la Herramienta MOC en el Portal Global de VPO.</t>
    </r>
    <r>
      <rPr>
        <sz val="11"/>
        <color theme="1" tint="0.34998626667073579"/>
        <rFont val="Calibri"/>
        <family val="2"/>
        <scheme val="minor"/>
      </rPr>
      <t xml:space="preserve">
</t>
    </r>
    <r>
      <rPr>
        <sz val="14"/>
        <color theme="1" tint="0.34998626667073579"/>
        <rFont val="Calibri"/>
        <family val="2"/>
        <scheme val="minor"/>
      </rPr>
      <t xml:space="preserve">"       
</t>
    </r>
  </si>
  <si>
    <t>TEMA</t>
  </si>
  <si>
    <t>COMENTARIOS</t>
  </si>
  <si>
    <t>RESPONSABLE</t>
  </si>
  <si>
    <t>FECHA LÍMITE</t>
  </si>
  <si>
    <t>ESTADO</t>
  </si>
  <si>
    <t>RESULTADOS/TEMAS</t>
  </si>
  <si>
    <t>¿SE NECESITA UNA HERRAMIENTA DE LA SDCA?</t>
  </si>
  <si>
    <t>Completo</t>
  </si>
  <si>
    <t xml:space="preserve">Completo </t>
  </si>
  <si>
    <t>GEMBA (EVIDENCIAS)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</si>
</sst>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409]d\-mmm\-yy;@"/>
    <numFmt numFmtId="165" formatCode="yyyy\-mm\-dd;@"/>
    <numFmt numFmtId="166" formatCode="[DBNum1][$-804]yyyy&quot;年&quot;m&quot;月&quot;d&quot;日&quot;;@"/>
    <numFmt numFmtId="168" formatCode="[$-409]d\-mmm;@"/>
    <numFmt numFmtId="169" formatCode="_(* #,##0.00_);_(* \(#,##0.00\);_(* &quot;-&quot;??_);_(@_)"/>
    <numFmt numFmtId="170" formatCode="#,##0.0\ \ _);&quot;NM&quot;_)"/>
    <numFmt numFmtId="171" formatCode="0.000"/>
  </numFmts>
  <fonts count="50" x14ac:knownFonts="1">
    <font>
      <sz val="8"/>
      <color theme="1"/>
      <name val="Calibri"/>
      <family val="2"/>
      <scheme val="minor"/>
    </font>
    <font>
      <sz val="8"/>
      <color theme="1"/>
      <name val="Calibri"/>
      <family val="2"/>
      <scheme val="minor"/>
    </font>
    <font>
      <b/>
      <sz val="8"/>
      <color theme="0"/>
      <name val="Calibri"/>
      <family val="2"/>
      <scheme val="minor"/>
    </font>
    <font>
      <b/>
      <sz val="12"/>
      <color theme="0"/>
      <name val="Calibri"/>
      <family val="2"/>
      <scheme val="minor"/>
    </font>
    <font>
      <b/>
      <sz val="14"/>
      <color indexed="81"/>
      <name val="Calibri"/>
      <family val="2"/>
      <scheme val="minor"/>
    </font>
    <font>
      <b/>
      <sz val="12"/>
      <name val="Verdana"/>
      <family val="2"/>
    </font>
    <font>
      <sz val="12"/>
      <color theme="1"/>
      <name val="Calibri"/>
      <family val="2"/>
      <scheme val="minor"/>
    </font>
    <font>
      <b/>
      <sz val="12"/>
      <name val="Calibri"/>
      <family val="2"/>
      <scheme val="minor"/>
    </font>
    <font>
      <b/>
      <sz val="12"/>
      <color theme="1"/>
      <name val="Calibri"/>
      <family val="2"/>
      <scheme val="minor"/>
    </font>
    <font>
      <sz val="12"/>
      <color theme="0"/>
      <name val="Calibri"/>
      <family val="2"/>
      <scheme val="minor"/>
    </font>
    <font>
      <sz val="11"/>
      <color theme="0"/>
      <name val="Calibri"/>
      <family val="2"/>
      <scheme val="minor"/>
    </font>
    <font>
      <sz val="10"/>
      <color theme="0"/>
      <name val="Calibri"/>
      <family val="2"/>
      <scheme val="minor"/>
    </font>
    <font>
      <sz val="10"/>
      <color theme="1"/>
      <name val="Calibri"/>
      <family val="2"/>
      <scheme val="minor"/>
    </font>
    <font>
      <sz val="11"/>
      <color theme="1"/>
      <name val="Calibri"/>
      <family val="2"/>
      <scheme val="minor"/>
    </font>
    <font>
      <b/>
      <i/>
      <sz val="20"/>
      <color theme="0"/>
      <name val="Calibri"/>
      <family val="2"/>
      <scheme val="minor"/>
    </font>
    <font>
      <b/>
      <sz val="11"/>
      <color theme="0"/>
      <name val="Calibri"/>
      <family val="2"/>
      <scheme val="minor"/>
    </font>
    <font>
      <b/>
      <sz val="10"/>
      <color theme="0"/>
      <name val="Calibri"/>
      <family val="2"/>
      <scheme val="minor"/>
    </font>
    <font>
      <b/>
      <sz val="12"/>
      <color rgb="FFFFFFFF"/>
      <name val="Calibri"/>
      <family val="2"/>
      <scheme val="minor"/>
    </font>
    <font>
      <b/>
      <sz val="11"/>
      <name val="Calibri"/>
      <family val="2"/>
      <scheme val="minor"/>
    </font>
    <font>
      <b/>
      <i/>
      <sz val="11"/>
      <color rgb="FFFF0000"/>
      <name val="Calibri"/>
      <family val="2"/>
      <scheme val="minor"/>
    </font>
    <font>
      <b/>
      <sz val="11"/>
      <color rgb="FF000000"/>
      <name val="Calibri"/>
      <family val="2"/>
      <scheme val="minor"/>
    </font>
    <font>
      <sz val="11"/>
      <color rgb="FF000000"/>
      <name val="Calibri"/>
      <family val="2"/>
      <scheme val="minor"/>
    </font>
    <font>
      <b/>
      <sz val="11"/>
      <color rgb="FFFF0000"/>
      <name val="Calibri"/>
      <family val="2"/>
      <scheme val="minor"/>
    </font>
    <font>
      <b/>
      <sz val="11"/>
      <color theme="1"/>
      <name val="Calibri"/>
      <family val="2"/>
      <scheme val="minor"/>
    </font>
    <font>
      <b/>
      <sz val="14"/>
      <color rgb="FF00B0F0"/>
      <name val="Calibri"/>
      <family val="2"/>
      <scheme val="minor"/>
    </font>
    <font>
      <b/>
      <sz val="12"/>
      <color theme="1" tint="0.34998626667073579"/>
      <name val="Calibri"/>
      <family val="2"/>
      <scheme val="minor"/>
    </font>
    <font>
      <b/>
      <sz val="9"/>
      <color theme="0"/>
      <name val="Calibri"/>
      <family val="2"/>
      <scheme val="minor"/>
    </font>
    <font>
      <b/>
      <sz val="24"/>
      <color rgb="FF000000"/>
      <name val="Calibri"/>
      <family val="2"/>
      <scheme val="minor"/>
    </font>
    <font>
      <sz val="14"/>
      <color theme="1" tint="0.34998626667073579"/>
      <name val="Calibri"/>
      <family val="2"/>
      <scheme val="minor"/>
    </font>
    <font>
      <sz val="12"/>
      <color theme="1" tint="0.34998626667073579"/>
      <name val="Calibri"/>
      <family val="2"/>
      <scheme val="minor"/>
    </font>
    <font>
      <sz val="11"/>
      <color theme="1" tint="0.34998626667073579"/>
      <name val="Calibri"/>
      <family val="2"/>
      <scheme val="minor"/>
    </font>
    <font>
      <b/>
      <sz val="9"/>
      <color theme="1"/>
      <name val="Calibri"/>
      <family val="2"/>
      <scheme val="minor"/>
    </font>
    <font>
      <sz val="10"/>
      <name val="Arial"/>
      <family val="2"/>
    </font>
    <font>
      <sz val="12"/>
      <color theme="1" tint="0.14999847407452621"/>
      <name val="Arial"/>
      <family val="2"/>
    </font>
    <font>
      <sz val="10"/>
      <color theme="1" tint="0.14996795556505021"/>
      <name val="Arial"/>
      <family val="2"/>
    </font>
    <font>
      <sz val="12"/>
      <color theme="1" tint="0.14999847407452621"/>
      <name val="Calibri"/>
      <family val="2"/>
      <scheme val="minor"/>
    </font>
    <font>
      <sz val="11"/>
      <color theme="1" tint="0.14999847407452621"/>
      <name val="Calibri"/>
      <family val="2"/>
      <scheme val="minor"/>
    </font>
    <font>
      <sz val="12"/>
      <color theme="1" tint="0.249977111117893"/>
      <name val="Calibri"/>
      <family val="2"/>
      <scheme val="minor"/>
    </font>
    <font>
      <b/>
      <sz val="12"/>
      <color rgb="FFC00000"/>
      <name val="Calibri"/>
      <family val="2"/>
      <scheme val="minor"/>
    </font>
    <font>
      <sz val="10"/>
      <color theme="0" tint="-0.499984740745262"/>
      <name val="Calibri"/>
      <family val="2"/>
      <scheme val="minor"/>
    </font>
    <font>
      <b/>
      <sz val="10"/>
      <color rgb="FF1B3F6B"/>
      <name val="Calibri"/>
      <family val="2"/>
      <scheme val="minor"/>
    </font>
    <font>
      <b/>
      <sz val="10"/>
      <color rgb="FF007FDE"/>
      <name val="Calibri"/>
      <family val="2"/>
      <scheme val="minor"/>
    </font>
    <font>
      <b/>
      <sz val="10"/>
      <color theme="1" tint="0.34998626667073579"/>
      <name val="Calibri"/>
      <family val="2"/>
      <scheme val="minor"/>
    </font>
    <font>
      <sz val="8"/>
      <color theme="1" tint="0.499984740745262"/>
      <name val="Calibri"/>
      <family val="2"/>
      <scheme val="minor"/>
    </font>
    <font>
      <b/>
      <sz val="12"/>
      <color theme="0" tint="-0.499984740745262"/>
      <name val="Calibri"/>
      <family val="2"/>
      <scheme val="minor"/>
    </font>
    <font>
      <sz val="12"/>
      <color theme="3" tint="0.39997558519241921"/>
      <name val="Calibri"/>
      <family val="2"/>
      <scheme val="minor"/>
    </font>
    <font>
      <b/>
      <sz val="12"/>
      <color rgb="FF002060"/>
      <name val="Calibri"/>
      <family val="2"/>
      <scheme val="minor"/>
    </font>
    <font>
      <b/>
      <sz val="11"/>
      <color theme="1" tint="0.34998626667073579"/>
      <name val="Calibri"/>
      <family val="2"/>
      <scheme val="minor"/>
    </font>
    <font>
      <i/>
      <sz val="11"/>
      <color rgb="FFFF0000"/>
      <name val="Calibri"/>
      <family val="2"/>
      <scheme val="minor"/>
    </font>
    <font>
      <sz val="12"/>
      <name val="Calibri"/>
      <family val="2"/>
      <scheme val="minor"/>
    </font>
  </fonts>
  <fills count="24">
    <fill>
      <patternFill patternType="none"/>
    </fill>
    <fill>
      <patternFill patternType="gray125"/>
    </fill>
    <fill>
      <patternFill patternType="solid">
        <fgColor rgb="FF1D4575"/>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499984740745262"/>
        <bgColor indexed="64"/>
      </patternFill>
    </fill>
    <fill>
      <patternFill patternType="solid">
        <fgColor rgb="FF1B416F"/>
        <bgColor indexed="64"/>
      </patternFill>
    </fill>
    <fill>
      <patternFill patternType="solid">
        <fgColor rgb="FF00206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theme="1"/>
        <bgColor indexed="64"/>
      </patternFill>
    </fill>
    <fill>
      <patternFill patternType="solid">
        <fgColor rgb="FF00B050"/>
        <bgColor indexed="64"/>
      </patternFill>
    </fill>
    <fill>
      <patternFill patternType="solid">
        <fgColor theme="2" tint="-9.9978637043366805E-2"/>
        <bgColor indexed="64"/>
      </patternFill>
    </fill>
    <fill>
      <patternFill patternType="solid">
        <fgColor rgb="FF336CAB"/>
        <bgColor indexed="64"/>
      </patternFill>
    </fill>
    <fill>
      <patternFill patternType="lightUp">
        <bgColor theme="0"/>
      </patternFill>
    </fill>
    <fill>
      <patternFill patternType="solid">
        <fgColor rgb="FF0056AC"/>
        <bgColor indexed="64"/>
      </patternFill>
    </fill>
    <fill>
      <patternFill patternType="solid">
        <fgColor rgb="FF1B3F6B"/>
        <bgColor indexed="64"/>
      </patternFill>
    </fill>
    <fill>
      <patternFill patternType="solid">
        <fgColor rgb="FF007FDE"/>
        <bgColor indexed="64"/>
      </patternFill>
    </fill>
    <fill>
      <patternFill patternType="solid">
        <fgColor theme="0" tint="-0.249977111117893"/>
        <bgColor indexed="64"/>
      </patternFill>
    </fill>
    <fill>
      <patternFill patternType="solid">
        <fgColor rgb="FF00B0F0"/>
        <bgColor indexed="64"/>
      </patternFill>
    </fill>
    <fill>
      <patternFill patternType="solid">
        <fgColor rgb="FFDEDEDE"/>
        <bgColor indexed="64"/>
      </patternFill>
    </fill>
    <fill>
      <patternFill patternType="solid">
        <fgColor theme="0" tint="-0.34998626667073579"/>
        <bgColor indexed="64"/>
      </patternFill>
    </fill>
    <fill>
      <patternFill patternType="solid">
        <fgColor rgb="FF0070C0"/>
        <bgColor indexed="64"/>
      </patternFill>
    </fill>
  </fills>
  <borders count="117">
    <border>
      <left/>
      <right/>
      <top/>
      <bottom/>
      <diagonal/>
    </border>
    <border>
      <left style="medium">
        <color rgb="FF016191"/>
      </left>
      <right/>
      <top style="medium">
        <color rgb="FF016191"/>
      </top>
      <bottom style="medium">
        <color rgb="FF016191"/>
      </bottom>
      <diagonal/>
    </border>
    <border>
      <left style="medium">
        <color rgb="FF016191"/>
      </left>
      <right style="thick">
        <color rgb="FF016191"/>
      </right>
      <top style="medium">
        <color rgb="FF016191"/>
      </top>
      <bottom style="medium">
        <color rgb="FF016191"/>
      </bottom>
      <diagonal/>
    </border>
    <border>
      <left style="thick">
        <color rgb="FF016191"/>
      </left>
      <right style="thick">
        <color rgb="FF016191"/>
      </right>
      <top style="medium">
        <color rgb="FF016191"/>
      </top>
      <bottom style="medium">
        <color rgb="FF016191"/>
      </bottom>
      <diagonal/>
    </border>
    <border>
      <left style="thick">
        <color rgb="FF016191"/>
      </left>
      <right style="medium">
        <color rgb="FF016191"/>
      </right>
      <top style="medium">
        <color rgb="FF016191"/>
      </top>
      <bottom style="medium">
        <color rgb="FF016191"/>
      </bottom>
      <diagonal/>
    </border>
    <border>
      <left/>
      <right/>
      <top style="medium">
        <color rgb="FF016191"/>
      </top>
      <bottom style="medium">
        <color rgb="FF016191"/>
      </bottom>
      <diagonal/>
    </border>
    <border>
      <left/>
      <right style="medium">
        <color rgb="FF016191"/>
      </right>
      <top style="medium">
        <color rgb="FF016191"/>
      </top>
      <bottom style="medium">
        <color rgb="FF016191"/>
      </bottom>
      <diagonal/>
    </border>
    <border>
      <left style="thick">
        <color rgb="FF016191"/>
      </left>
      <right style="thick">
        <color rgb="FF016191"/>
      </right>
      <top/>
      <bottom style="thick">
        <color rgb="FF016191"/>
      </bottom>
      <diagonal/>
    </border>
    <border>
      <left style="medium">
        <color rgb="FF016191"/>
      </left>
      <right style="thin">
        <color theme="3"/>
      </right>
      <top style="thin">
        <color theme="3"/>
      </top>
      <bottom style="thin">
        <color theme="3"/>
      </bottom>
      <diagonal/>
    </border>
    <border>
      <left style="thin">
        <color theme="3"/>
      </left>
      <right/>
      <top style="thin">
        <color theme="3"/>
      </top>
      <bottom style="thin">
        <color theme="3"/>
      </bottom>
      <diagonal/>
    </border>
    <border>
      <left style="medium">
        <color rgb="FF016191"/>
      </left>
      <right/>
      <top style="medium">
        <color rgb="FF016191"/>
      </top>
      <bottom style="thin">
        <color rgb="FF016191"/>
      </bottom>
      <diagonal/>
    </border>
    <border>
      <left/>
      <right/>
      <top style="medium">
        <color rgb="FF016191"/>
      </top>
      <bottom style="thin">
        <color rgb="FF016191"/>
      </bottom>
      <diagonal/>
    </border>
    <border>
      <left/>
      <right style="medium">
        <color rgb="FF016191"/>
      </right>
      <top style="medium">
        <color rgb="FF016191"/>
      </top>
      <bottom style="thin">
        <color rgb="FF016191"/>
      </bottom>
      <diagonal/>
    </border>
    <border>
      <left style="medium">
        <color rgb="FF016191"/>
      </left>
      <right/>
      <top/>
      <bottom style="thin">
        <color rgb="FF016191"/>
      </bottom>
      <diagonal/>
    </border>
    <border>
      <left/>
      <right/>
      <top/>
      <bottom style="thin">
        <color rgb="FF016191"/>
      </bottom>
      <diagonal/>
    </border>
    <border>
      <left/>
      <right style="medium">
        <color rgb="FF016191"/>
      </right>
      <top/>
      <bottom style="thin">
        <color rgb="FF016191"/>
      </bottom>
      <diagonal/>
    </border>
    <border>
      <left style="medium">
        <color rgb="FF016191"/>
      </left>
      <right/>
      <top/>
      <bottom style="hair">
        <color rgb="FF016191"/>
      </bottom>
      <diagonal/>
    </border>
    <border>
      <left/>
      <right/>
      <top/>
      <bottom style="hair">
        <color rgb="FF016191"/>
      </bottom>
      <diagonal/>
    </border>
    <border>
      <left/>
      <right style="medium">
        <color rgb="FF016191"/>
      </right>
      <top/>
      <bottom style="hair">
        <color rgb="FF016191"/>
      </bottom>
      <diagonal/>
    </border>
    <border>
      <left style="medium">
        <color rgb="FF016191"/>
      </left>
      <right/>
      <top style="hair">
        <color rgb="FF016191"/>
      </top>
      <bottom style="hair">
        <color rgb="FF016191"/>
      </bottom>
      <diagonal/>
    </border>
    <border>
      <left/>
      <right/>
      <top style="hair">
        <color rgb="FF016191"/>
      </top>
      <bottom style="hair">
        <color rgb="FF016191"/>
      </bottom>
      <diagonal/>
    </border>
    <border>
      <left/>
      <right style="medium">
        <color rgb="FF016191"/>
      </right>
      <top style="hair">
        <color rgb="FF016191"/>
      </top>
      <bottom style="hair">
        <color rgb="FF016191"/>
      </bottom>
      <diagonal/>
    </border>
    <border>
      <left style="medium">
        <color rgb="FF016191"/>
      </left>
      <right style="thin">
        <color theme="3"/>
      </right>
      <top style="thin">
        <color theme="3"/>
      </top>
      <bottom style="medium">
        <color rgb="FF016191"/>
      </bottom>
      <diagonal/>
    </border>
    <border>
      <left style="thin">
        <color theme="3"/>
      </left>
      <right/>
      <top style="thin">
        <color theme="3"/>
      </top>
      <bottom style="medium">
        <color rgb="FF016191"/>
      </bottom>
      <diagonal/>
    </border>
    <border>
      <left style="thick">
        <color rgb="FF016191"/>
      </left>
      <right style="thin">
        <color rgb="FF016191"/>
      </right>
      <top style="hair">
        <color rgb="FF016191"/>
      </top>
      <bottom style="hair">
        <color rgb="FF016191"/>
      </bottom>
      <diagonal/>
    </border>
    <border>
      <left style="thin">
        <color rgb="FF016191"/>
      </left>
      <right style="thin">
        <color rgb="FF016191"/>
      </right>
      <top style="hair">
        <color rgb="FF016191"/>
      </top>
      <bottom style="hair">
        <color rgb="FF016191"/>
      </bottom>
      <diagonal/>
    </border>
    <border>
      <left style="thin">
        <color rgb="FF016191"/>
      </left>
      <right style="thick">
        <color rgb="FF016191"/>
      </right>
      <top style="hair">
        <color rgb="FF016191"/>
      </top>
      <bottom style="hair">
        <color rgb="FF016191"/>
      </bottom>
      <diagonal/>
    </border>
    <border>
      <left/>
      <right/>
      <top/>
      <bottom style="medium">
        <color rgb="FF016191"/>
      </bottom>
      <diagonal/>
    </border>
    <border>
      <left style="medium">
        <color rgb="FF016191"/>
      </left>
      <right/>
      <top style="hair">
        <color rgb="FF016191"/>
      </top>
      <bottom style="medium">
        <color rgb="FF016191"/>
      </bottom>
      <diagonal/>
    </border>
    <border>
      <left/>
      <right/>
      <top style="hair">
        <color rgb="FF016191"/>
      </top>
      <bottom style="medium">
        <color rgb="FF016191"/>
      </bottom>
      <diagonal/>
    </border>
    <border>
      <left/>
      <right style="medium">
        <color rgb="FF016191"/>
      </right>
      <top style="hair">
        <color rgb="FF016191"/>
      </top>
      <bottom style="medium">
        <color rgb="FF016191"/>
      </bottom>
      <diagonal/>
    </border>
    <border>
      <left style="medium">
        <color rgb="FF016191"/>
      </left>
      <right style="thin">
        <color theme="3"/>
      </right>
      <top style="medium">
        <color rgb="FF016191"/>
      </top>
      <bottom style="thin">
        <color theme="3"/>
      </bottom>
      <diagonal/>
    </border>
    <border>
      <left style="thin">
        <color theme="3"/>
      </left>
      <right/>
      <top style="medium">
        <color rgb="FF016191"/>
      </top>
      <bottom style="thin">
        <color theme="3"/>
      </bottom>
      <diagonal/>
    </border>
    <border>
      <left style="thick">
        <color rgb="FF016191"/>
      </left>
      <right style="thin">
        <color rgb="FF016191"/>
      </right>
      <top style="medium">
        <color rgb="FF016191"/>
      </top>
      <bottom style="hair">
        <color rgb="FF016191"/>
      </bottom>
      <diagonal/>
    </border>
    <border>
      <left style="thin">
        <color rgb="FF016191"/>
      </left>
      <right style="thin">
        <color rgb="FF016191"/>
      </right>
      <top style="medium">
        <color rgb="FF016191"/>
      </top>
      <bottom style="hair">
        <color rgb="FF016191"/>
      </bottom>
      <diagonal/>
    </border>
    <border>
      <left style="thin">
        <color rgb="FF016191"/>
      </left>
      <right style="thick">
        <color rgb="FF016191"/>
      </right>
      <top style="medium">
        <color rgb="FF016191"/>
      </top>
      <bottom style="hair">
        <color rgb="FF016191"/>
      </bottom>
      <diagonal/>
    </border>
    <border>
      <left style="thick">
        <color rgb="FF016191"/>
      </left>
      <right/>
      <top style="medium">
        <color rgb="FF016191"/>
      </top>
      <bottom/>
      <diagonal/>
    </border>
    <border>
      <left/>
      <right/>
      <top style="medium">
        <color rgb="FF016191"/>
      </top>
      <bottom/>
      <diagonal/>
    </border>
    <border>
      <left style="thin">
        <color rgb="FF016191"/>
      </left>
      <right style="medium">
        <color rgb="FF016191"/>
      </right>
      <top style="medium">
        <color rgb="FF016191"/>
      </top>
      <bottom style="hair">
        <color rgb="FF016191"/>
      </bottom>
      <diagonal/>
    </border>
    <border>
      <left style="thick">
        <color rgb="FF016191"/>
      </left>
      <right/>
      <top/>
      <bottom/>
      <diagonal/>
    </border>
    <border>
      <left style="thin">
        <color rgb="FF016191"/>
      </left>
      <right style="medium">
        <color rgb="FF016191"/>
      </right>
      <top style="hair">
        <color rgb="FF016191"/>
      </top>
      <bottom style="hair">
        <color rgb="FF016191"/>
      </bottom>
      <diagonal/>
    </border>
    <border>
      <left/>
      <right style="thick">
        <color rgb="FF016191"/>
      </right>
      <top style="hair">
        <color rgb="FF016191"/>
      </top>
      <bottom style="hair">
        <color rgb="FF016191"/>
      </bottom>
      <diagonal/>
    </border>
    <border>
      <left style="thin">
        <color rgb="FF016191"/>
      </left>
      <right style="thin">
        <color rgb="FF016191"/>
      </right>
      <top style="hair">
        <color rgb="FF016191"/>
      </top>
      <bottom style="medium">
        <color rgb="FF016191"/>
      </bottom>
      <diagonal/>
    </border>
    <border>
      <left style="thin">
        <color rgb="FF016191"/>
      </left>
      <right style="medium">
        <color rgb="FF016191"/>
      </right>
      <top style="hair">
        <color rgb="FF016191"/>
      </top>
      <bottom style="medium">
        <color rgb="FF016191"/>
      </bottom>
      <diagonal/>
    </border>
    <border>
      <left style="thick">
        <color rgb="FF016191"/>
      </left>
      <right/>
      <top/>
      <bottom style="medium">
        <color rgb="FF016191"/>
      </bottom>
      <diagonal/>
    </border>
    <border>
      <left style="thin">
        <color rgb="FF016191"/>
      </left>
      <right/>
      <top style="medium">
        <color rgb="FF016191"/>
      </top>
      <bottom style="medium">
        <color rgb="FF016191"/>
      </bottom>
      <diagonal/>
    </border>
    <border>
      <left style="thick">
        <color rgb="FF016191"/>
      </left>
      <right/>
      <top style="thick">
        <color rgb="FF016191"/>
      </top>
      <bottom style="thick">
        <color rgb="FF016191"/>
      </bottom>
      <diagonal/>
    </border>
    <border>
      <left/>
      <right/>
      <top style="thick">
        <color rgb="FF016191"/>
      </top>
      <bottom style="thick">
        <color rgb="FF016191"/>
      </bottom>
      <diagonal/>
    </border>
    <border>
      <left style="thick">
        <color rgb="FF016191"/>
      </left>
      <right/>
      <top style="medium">
        <color rgb="FF016191"/>
      </top>
      <bottom style="medium">
        <color rgb="FF016191"/>
      </bottom>
      <diagonal/>
    </border>
    <border>
      <left style="thin">
        <color rgb="FF016191"/>
      </left>
      <right/>
      <top style="hair">
        <color rgb="FF016191"/>
      </top>
      <bottom style="hair">
        <color rgb="FF016191"/>
      </bottom>
      <diagonal/>
    </border>
    <border>
      <left style="thin">
        <color rgb="FF016191"/>
      </left>
      <right/>
      <top style="hair">
        <color rgb="FF016191"/>
      </top>
      <bottom style="medium">
        <color rgb="FF016191"/>
      </bottom>
      <diagonal/>
    </border>
    <border>
      <left style="thick">
        <color rgb="FF016191"/>
      </left>
      <right/>
      <top style="hair">
        <color rgb="FF016191"/>
      </top>
      <bottom style="hair">
        <color rgb="FF016191"/>
      </bottom>
      <diagonal/>
    </border>
    <border>
      <left style="thick">
        <color rgb="FF016191"/>
      </left>
      <right/>
      <top style="hair">
        <color rgb="FF016191"/>
      </top>
      <bottom style="medium">
        <color rgb="FF016191"/>
      </bottom>
      <diagonal/>
    </border>
    <border>
      <left/>
      <right style="thick">
        <color rgb="FF016191"/>
      </right>
      <top style="hair">
        <color rgb="FF016191"/>
      </top>
      <bottom style="medium">
        <color rgb="FF016191"/>
      </bottom>
      <diagonal/>
    </border>
    <border>
      <left style="medium">
        <color rgb="FF016191"/>
      </left>
      <right/>
      <top style="thin">
        <color theme="3"/>
      </top>
      <bottom style="medium">
        <color rgb="FF016191"/>
      </bottom>
      <diagonal/>
    </border>
    <border>
      <left/>
      <right style="thick">
        <color rgb="FF016191"/>
      </right>
      <top style="thin">
        <color theme="3"/>
      </top>
      <bottom style="medium">
        <color rgb="FF016191"/>
      </bottom>
      <diagonal/>
    </border>
    <border>
      <left style="medium">
        <color indexed="64"/>
      </left>
      <right style="medium">
        <color indexed="64"/>
      </right>
      <top style="medium">
        <color indexed="64"/>
      </top>
      <bottom style="medium">
        <color indexed="64"/>
      </bottom>
      <diagonal/>
    </border>
    <border>
      <left style="thick">
        <color rgb="FF016191"/>
      </left>
      <right style="thin">
        <color rgb="FF016191"/>
      </right>
      <top style="hair">
        <color rgb="FF016191"/>
      </top>
      <bottom/>
      <diagonal/>
    </border>
    <border>
      <left style="thin">
        <color rgb="FF016191"/>
      </left>
      <right style="thin">
        <color rgb="FF016191"/>
      </right>
      <top style="hair">
        <color rgb="FF016191"/>
      </top>
      <bottom/>
      <diagonal/>
    </border>
    <border>
      <left style="thin">
        <color rgb="FF016191"/>
      </left>
      <right style="thick">
        <color rgb="FF016191"/>
      </right>
      <top style="hair">
        <color rgb="FF016191"/>
      </top>
      <bottom/>
      <diagonal/>
    </border>
    <border>
      <left style="thick">
        <color rgb="FF016191"/>
      </left>
      <right style="thin">
        <color rgb="FF016191"/>
      </right>
      <top/>
      <bottom style="hair">
        <color rgb="FF016191"/>
      </bottom>
      <diagonal/>
    </border>
    <border>
      <left style="thin">
        <color rgb="FF016191"/>
      </left>
      <right style="thin">
        <color rgb="FF016191"/>
      </right>
      <top/>
      <bottom style="hair">
        <color rgb="FF016191"/>
      </bottom>
      <diagonal/>
    </border>
    <border>
      <left style="thin">
        <color rgb="FF016191"/>
      </left>
      <right style="thick">
        <color rgb="FF016191"/>
      </right>
      <top/>
      <bottom style="hair">
        <color rgb="FF01619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theme="0"/>
      </right>
      <top style="thin">
        <color rgb="FF0067B4"/>
      </top>
      <bottom style="thin">
        <color theme="0"/>
      </bottom>
      <diagonal/>
    </border>
    <border>
      <left style="thin">
        <color theme="0"/>
      </left>
      <right style="thin">
        <color theme="0"/>
      </right>
      <top style="thin">
        <color rgb="FF0067B4"/>
      </top>
      <bottom/>
      <diagonal/>
    </border>
    <border>
      <left style="thin">
        <color theme="0"/>
      </left>
      <right style="thin">
        <color rgb="FF0067B4"/>
      </right>
      <top style="thin">
        <color rgb="FF0067B4"/>
      </top>
      <bottom/>
      <diagonal/>
    </border>
    <border>
      <left style="thin">
        <color theme="0"/>
      </left>
      <right/>
      <top/>
      <bottom style="thin">
        <color theme="0"/>
      </bottom>
      <diagonal/>
    </border>
    <border>
      <left/>
      <right style="thin">
        <color rgb="FF00B0F0"/>
      </right>
      <top style="thin">
        <color theme="0"/>
      </top>
      <bottom style="thin">
        <color rgb="FF00B0F0"/>
      </bottom>
      <diagonal/>
    </border>
    <border>
      <left/>
      <right style="thin">
        <color rgb="FF00B0F0"/>
      </right>
      <top style="thin">
        <color rgb="FF00B0F0"/>
      </top>
      <bottom style="thin">
        <color rgb="FF00B0F0"/>
      </bottom>
      <diagonal/>
    </border>
    <border>
      <left style="thin">
        <color theme="0"/>
      </left>
      <right/>
      <top style="thin">
        <color theme="0"/>
      </top>
      <bottom style="thin">
        <color theme="0"/>
      </bottom>
      <diagonal/>
    </border>
    <border>
      <left style="thin">
        <color theme="0" tint="-0.14996795556505021"/>
      </left>
      <right style="thin">
        <color rgb="FF00B0F0"/>
      </right>
      <top style="thin">
        <color rgb="FF00B0F0"/>
      </top>
      <bottom style="thin">
        <color rgb="FF00B0F0"/>
      </bottom>
      <diagonal/>
    </border>
    <border>
      <left style="thin">
        <color rgb="FF2564B1"/>
      </left>
      <right style="medium">
        <color theme="0"/>
      </right>
      <top style="thin">
        <color rgb="FF2564B1"/>
      </top>
      <bottom style="medium">
        <color theme="0"/>
      </bottom>
      <diagonal/>
    </border>
    <border>
      <left/>
      <right style="medium">
        <color theme="0"/>
      </right>
      <top/>
      <bottom style="medium">
        <color theme="0"/>
      </bottom>
      <diagonal/>
    </border>
    <border>
      <left style="medium">
        <color theme="0"/>
      </left>
      <right/>
      <top/>
      <bottom style="medium">
        <color theme="0"/>
      </bottom>
      <diagonal/>
    </border>
    <border>
      <left style="medium">
        <color theme="0"/>
      </left>
      <right style="medium">
        <color theme="0"/>
      </right>
      <top style="thin">
        <color rgb="FF2564B1"/>
      </top>
      <bottom style="medium">
        <color theme="0"/>
      </bottom>
      <diagonal/>
    </border>
    <border>
      <left style="medium">
        <color theme="0"/>
      </left>
      <right style="thin">
        <color rgb="FF2564B1"/>
      </right>
      <top style="thin">
        <color rgb="FF2564B1"/>
      </top>
      <bottom style="medium">
        <color theme="0"/>
      </bottom>
      <diagonal/>
    </border>
    <border>
      <left style="medium">
        <color theme="0"/>
      </left>
      <right style="thin">
        <color theme="0"/>
      </right>
      <top style="medium">
        <color theme="0"/>
      </top>
      <bottom style="medium">
        <color theme="0"/>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diagonal/>
    </border>
    <border>
      <left/>
      <right style="thin">
        <color rgb="FF002060"/>
      </right>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right/>
      <top/>
      <bottom style="thin">
        <color theme="0"/>
      </bottom>
      <diagonal/>
    </border>
    <border>
      <left/>
      <right style="thin">
        <color theme="0" tint="-4.9989318521683403E-2"/>
      </right>
      <top/>
      <bottom style="thin">
        <color theme="0"/>
      </bottom>
      <diagonal/>
    </border>
    <border>
      <left style="thin">
        <color theme="0" tint="-4.9989318521683403E-2"/>
      </left>
      <right/>
      <top/>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rgb="FF00B050"/>
      </left>
      <right style="thin">
        <color rgb="FF00B050"/>
      </right>
      <top/>
      <bottom style="thin">
        <color rgb="FF00B050"/>
      </bottom>
      <diagonal/>
    </border>
    <border>
      <left/>
      <right style="thin">
        <color theme="0"/>
      </right>
      <top/>
      <bottom style="thin">
        <color theme="0"/>
      </bottom>
      <diagonal/>
    </border>
    <border>
      <left style="thin">
        <color rgb="FF00B050"/>
      </left>
      <right style="thin">
        <color rgb="FF00B050"/>
      </right>
      <top style="thin">
        <color rgb="FF00B050"/>
      </top>
      <bottom style="thin">
        <color rgb="FF00B050"/>
      </bottom>
      <diagonal/>
    </border>
    <border>
      <left style="thin">
        <color rgb="FF1C9038"/>
      </left>
      <right style="thin">
        <color rgb="FF1C9038"/>
      </right>
      <top/>
      <bottom style="thin">
        <color rgb="FF1C9038"/>
      </bottom>
      <diagonal/>
    </border>
    <border>
      <left style="medium">
        <color theme="0"/>
      </left>
      <right style="medium">
        <color theme="0"/>
      </right>
      <top style="medium">
        <color theme="0"/>
      </top>
      <bottom/>
      <diagonal/>
    </border>
    <border>
      <left style="thin">
        <color rgb="FF1C9038"/>
      </left>
      <right style="thin">
        <color rgb="FF1C9038"/>
      </right>
      <top style="thin">
        <color rgb="FF1C9038"/>
      </top>
      <bottom style="thin">
        <color rgb="FF1C9038"/>
      </bottom>
      <diagonal/>
    </border>
    <border>
      <left style="thin">
        <color theme="0"/>
      </left>
      <right/>
      <top/>
      <bottom/>
      <diagonal/>
    </border>
    <border>
      <left/>
      <right style="thin">
        <color theme="0"/>
      </right>
      <top/>
      <bottom/>
      <diagonal/>
    </border>
    <border>
      <left style="thin">
        <color theme="0"/>
      </left>
      <right style="thin">
        <color theme="0"/>
      </right>
      <top/>
      <bottom/>
      <diagonal/>
    </border>
    <border>
      <left style="thin">
        <color rgb="FF00B050"/>
      </left>
      <right/>
      <top/>
      <bottom style="thin">
        <color rgb="FF00B050"/>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168" fontId="32" fillId="0" borderId="0"/>
    <xf numFmtId="169" fontId="32" fillId="0" borderId="0" applyFont="0" applyFill="0" applyBorder="0" applyAlignment="0" applyProtection="0"/>
    <xf numFmtId="170" fontId="13" fillId="0" borderId="0"/>
    <xf numFmtId="170" fontId="32" fillId="0" borderId="0"/>
    <xf numFmtId="9" fontId="32" fillId="0" borderId="0" applyFont="0" applyFill="0" applyBorder="0" applyAlignment="0" applyProtection="0"/>
    <xf numFmtId="168" fontId="13" fillId="0" borderId="0"/>
  </cellStyleXfs>
  <cellXfs count="262">
    <xf numFmtId="0" fontId="0" fillId="0" borderId="0" xfId="0"/>
    <xf numFmtId="0" fontId="3" fillId="2" borderId="8" xfId="0" applyFont="1" applyFill="1" applyBorder="1" applyAlignment="1">
      <alignment horizontal="center" vertical="center" wrapText="1"/>
    </xf>
    <xf numFmtId="0" fontId="3" fillId="2" borderId="1" xfId="0" applyFont="1" applyFill="1" applyBorder="1" applyAlignment="1">
      <alignment horizontal="center" vertical="center" wrapText="1"/>
    </xf>
    <xf numFmtId="49" fontId="5" fillId="3" borderId="2" xfId="0" applyNumberFormat="1" applyFont="1" applyFill="1" applyBorder="1" applyAlignment="1" applyProtection="1">
      <alignment horizontal="center" vertical="center" wrapText="1"/>
      <protection locked="0"/>
    </xf>
    <xf numFmtId="49" fontId="5" fillId="3" borderId="3" xfId="0" applyNumberFormat="1" applyFont="1" applyFill="1" applyBorder="1" applyAlignment="1" applyProtection="1">
      <alignment horizontal="center" vertical="center" wrapText="1"/>
      <protection locked="0"/>
    </xf>
    <xf numFmtId="49" fontId="5" fillId="3" borderId="4" xfId="0" applyNumberFormat="1" applyFont="1" applyFill="1" applyBorder="1" applyAlignment="1" applyProtection="1">
      <alignment horizontal="center" vertical="center" wrapText="1"/>
      <protection locked="0"/>
    </xf>
    <xf numFmtId="0" fontId="3" fillId="2" borderId="5"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3" borderId="1" xfId="0" applyFont="1" applyFill="1" applyBorder="1" applyAlignment="1" applyProtection="1">
      <alignment horizontal="center" vertical="center" wrapText="1"/>
      <protection locked="0"/>
    </xf>
    <xf numFmtId="0" fontId="5" fillId="3" borderId="5" xfId="0" applyFont="1" applyFill="1" applyBorder="1" applyAlignment="1" applyProtection="1">
      <alignment horizontal="center" vertical="center" wrapText="1"/>
      <protection locked="0"/>
    </xf>
    <xf numFmtId="0" fontId="5" fillId="3" borderId="6" xfId="0" applyFont="1" applyFill="1" applyBorder="1" applyAlignment="1" applyProtection="1">
      <alignment horizontal="center" vertical="center" wrapText="1"/>
      <protection locked="0"/>
    </xf>
    <xf numFmtId="0" fontId="5" fillId="3" borderId="0" xfId="0" applyFont="1" applyFill="1" applyAlignment="1">
      <alignment horizontal="center" vertical="center" wrapText="1"/>
    </xf>
    <xf numFmtId="0" fontId="6" fillId="3" borderId="0" xfId="0" applyFont="1" applyFill="1"/>
    <xf numFmtId="0" fontId="3" fillId="2" borderId="1"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49" fontId="5" fillId="3" borderId="7" xfId="0" applyNumberFormat="1" applyFont="1" applyFill="1" applyBorder="1" applyAlignment="1" applyProtection="1">
      <alignment horizontal="center" vertical="center" wrapText="1"/>
      <protection locked="0"/>
    </xf>
    <xf numFmtId="49" fontId="5" fillId="4" borderId="0" xfId="0" applyNumberFormat="1" applyFont="1" applyFill="1" applyAlignment="1" applyProtection="1">
      <alignment horizontal="center" vertical="center" wrapText="1"/>
      <protection locked="0"/>
    </xf>
    <xf numFmtId="0" fontId="5" fillId="3" borderId="0" xfId="0" applyFont="1" applyFill="1" applyAlignment="1" applyProtection="1">
      <alignment vertical="center" wrapText="1"/>
      <protection locked="0"/>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49" fontId="5" fillId="3" borderId="1" xfId="0" applyNumberFormat="1" applyFont="1" applyFill="1" applyBorder="1" applyAlignment="1" applyProtection="1">
      <alignment horizontal="center" vertical="center" wrapText="1"/>
      <protection locked="0"/>
    </xf>
    <xf numFmtId="49" fontId="5" fillId="3" borderId="5" xfId="0" applyNumberFormat="1" applyFont="1" applyFill="1" applyBorder="1" applyAlignment="1" applyProtection="1">
      <alignment horizontal="center" vertical="center" wrapText="1"/>
      <protection locked="0"/>
    </xf>
    <xf numFmtId="49" fontId="5" fillId="3" borderId="6" xfId="0" applyNumberFormat="1" applyFont="1" applyFill="1" applyBorder="1" applyAlignment="1" applyProtection="1">
      <alignment horizontal="center" vertical="center" wrapText="1"/>
      <protection locked="0"/>
    </xf>
    <xf numFmtId="0" fontId="3" fillId="2" borderId="0" xfId="0" applyFont="1" applyFill="1" applyAlignment="1">
      <alignment horizontal="center" vertical="center"/>
    </xf>
    <xf numFmtId="49" fontId="5" fillId="3" borderId="10" xfId="0" applyNumberFormat="1" applyFont="1" applyFill="1" applyBorder="1" applyAlignment="1" applyProtection="1">
      <alignment horizontal="center" vertical="center" wrapText="1"/>
      <protection locked="0"/>
    </xf>
    <xf numFmtId="49" fontId="5" fillId="3" borderId="11" xfId="0" applyNumberFormat="1" applyFont="1" applyFill="1" applyBorder="1" applyAlignment="1" applyProtection="1">
      <alignment horizontal="center" vertical="center" wrapText="1"/>
      <protection locked="0"/>
    </xf>
    <xf numFmtId="49" fontId="5" fillId="3" borderId="12" xfId="0" applyNumberFormat="1" applyFont="1" applyFill="1" applyBorder="1" applyAlignment="1" applyProtection="1">
      <alignment horizontal="center" vertical="center" wrapText="1"/>
      <protection locked="0"/>
    </xf>
    <xf numFmtId="0" fontId="3" fillId="2" borderId="9" xfId="0" applyFont="1" applyFill="1" applyBorder="1" applyAlignment="1">
      <alignment horizontal="center" vertical="center" wrapText="1"/>
    </xf>
    <xf numFmtId="49" fontId="5" fillId="3" borderId="13" xfId="0" applyNumberFormat="1" applyFont="1" applyFill="1" applyBorder="1" applyAlignment="1" applyProtection="1">
      <alignment horizontal="center" vertical="center" wrapText="1"/>
      <protection locked="0"/>
    </xf>
    <xf numFmtId="49" fontId="5" fillId="3" borderId="14" xfId="0" applyNumberFormat="1" applyFont="1" applyFill="1" applyBorder="1" applyAlignment="1" applyProtection="1">
      <alignment horizontal="center" vertical="center" wrapText="1"/>
      <protection locked="0"/>
    </xf>
    <xf numFmtId="49" fontId="5" fillId="3" borderId="15" xfId="0" applyNumberFormat="1" applyFont="1" applyFill="1" applyBorder="1" applyAlignment="1" applyProtection="1">
      <alignment horizontal="center" vertical="center" wrapText="1"/>
      <protection locked="0"/>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2" fontId="5" fillId="3" borderId="16" xfId="0" applyNumberFormat="1" applyFont="1" applyFill="1" applyBorder="1" applyAlignment="1" applyProtection="1">
      <alignment horizontal="center" vertical="center" wrapText="1"/>
      <protection locked="0"/>
    </xf>
    <xf numFmtId="2" fontId="5" fillId="3" borderId="17" xfId="0" applyNumberFormat="1" applyFont="1" applyFill="1" applyBorder="1" applyAlignment="1" applyProtection="1">
      <alignment horizontal="center" vertical="center" wrapText="1"/>
      <protection locked="0"/>
    </xf>
    <xf numFmtId="2" fontId="5" fillId="3" borderId="18" xfId="0" applyNumberFormat="1" applyFont="1" applyFill="1" applyBorder="1" applyAlignment="1" applyProtection="1">
      <alignment horizontal="center" vertical="center" wrapText="1"/>
      <protection locked="0"/>
    </xf>
    <xf numFmtId="0" fontId="3" fillId="2" borderId="0" xfId="0" applyFont="1" applyFill="1" applyAlignment="1">
      <alignment horizontal="center" vertical="center"/>
    </xf>
    <xf numFmtId="0" fontId="5" fillId="3" borderId="19" xfId="0" applyFont="1" applyFill="1" applyBorder="1" applyAlignment="1" applyProtection="1">
      <alignment horizontal="center" vertical="center" wrapText="1"/>
      <protection locked="0"/>
    </xf>
    <xf numFmtId="0" fontId="5" fillId="3" borderId="20" xfId="0" applyFont="1" applyFill="1" applyBorder="1" applyAlignment="1" applyProtection="1">
      <alignment horizontal="center" vertical="center" wrapText="1"/>
      <protection locked="0"/>
    </xf>
    <xf numFmtId="0" fontId="5" fillId="3" borderId="21" xfId="0" applyFont="1" applyFill="1" applyBorder="1" applyAlignment="1" applyProtection="1">
      <alignment horizontal="center" vertical="center" wrapText="1"/>
      <protection locked="0"/>
    </xf>
    <xf numFmtId="49" fontId="5" fillId="3" borderId="19" xfId="0" applyNumberFormat="1" applyFont="1" applyFill="1" applyBorder="1" applyAlignment="1" applyProtection="1">
      <alignment horizontal="center" vertical="center" wrapText="1"/>
      <protection locked="0"/>
    </xf>
    <xf numFmtId="49" fontId="5" fillId="3" borderId="20" xfId="0" applyNumberFormat="1" applyFont="1" applyFill="1" applyBorder="1" applyAlignment="1" applyProtection="1">
      <alignment horizontal="center" vertical="center" wrapText="1"/>
      <protection locked="0"/>
    </xf>
    <xf numFmtId="49" fontId="5" fillId="3" borderId="21" xfId="0" applyNumberFormat="1" applyFont="1" applyFill="1" applyBorder="1" applyAlignment="1" applyProtection="1">
      <alignment horizontal="center" vertical="center" wrapText="1"/>
      <protection locked="0"/>
    </xf>
    <xf numFmtId="49" fontId="7" fillId="3" borderId="24" xfId="0" applyNumberFormat="1" applyFont="1" applyFill="1" applyBorder="1" applyAlignment="1" applyProtection="1">
      <alignment horizontal="center" vertical="center" wrapText="1"/>
      <protection locked="0"/>
    </xf>
    <xf numFmtId="49" fontId="7" fillId="3" borderId="25" xfId="0" applyNumberFormat="1" applyFont="1" applyFill="1" applyBorder="1" applyAlignment="1" applyProtection="1">
      <alignment horizontal="center" vertical="center" wrapText="1"/>
      <protection locked="0"/>
    </xf>
    <xf numFmtId="49" fontId="7" fillId="3" borderId="26" xfId="0" applyNumberFormat="1" applyFont="1" applyFill="1" applyBorder="1" applyAlignment="1" applyProtection="1">
      <alignment horizontal="center" vertical="center" wrapText="1"/>
      <protection locked="0"/>
    </xf>
    <xf numFmtId="0" fontId="3" fillId="2" borderId="27" xfId="0" applyFont="1" applyFill="1" applyBorder="1" applyAlignment="1">
      <alignment horizontal="center" vertical="center"/>
    </xf>
    <xf numFmtId="0" fontId="5" fillId="3" borderId="28" xfId="0" applyFont="1" applyFill="1" applyBorder="1" applyAlignment="1" applyProtection="1">
      <alignment horizontal="center" vertical="center" wrapText="1"/>
      <protection locked="0"/>
    </xf>
    <xf numFmtId="0" fontId="5" fillId="3" borderId="29" xfId="0" applyFont="1" applyFill="1" applyBorder="1" applyAlignment="1" applyProtection="1">
      <alignment horizontal="center" vertical="center" wrapText="1"/>
      <protection locked="0"/>
    </xf>
    <xf numFmtId="0" fontId="5" fillId="3" borderId="30" xfId="0" applyFont="1" applyFill="1" applyBorder="1" applyAlignment="1" applyProtection="1">
      <alignment horizontal="center" vertical="center" wrapText="1"/>
      <protection locked="0"/>
    </xf>
    <xf numFmtId="0" fontId="3" fillId="2" borderId="31" xfId="0" applyFont="1" applyFill="1" applyBorder="1" applyAlignment="1">
      <alignment horizontal="center" vertical="center"/>
    </xf>
    <xf numFmtId="0" fontId="3" fillId="2" borderId="32" xfId="0" applyFont="1" applyFill="1" applyBorder="1" applyAlignment="1">
      <alignment horizontal="center" vertical="center"/>
    </xf>
    <xf numFmtId="49" fontId="7" fillId="3" borderId="33" xfId="0" applyNumberFormat="1" applyFont="1" applyFill="1" applyBorder="1" applyAlignment="1" applyProtection="1">
      <alignment horizontal="center" vertical="center" wrapText="1"/>
      <protection locked="0"/>
    </xf>
    <xf numFmtId="49" fontId="7" fillId="3" borderId="34" xfId="0" applyNumberFormat="1" applyFont="1" applyFill="1" applyBorder="1" applyAlignment="1" applyProtection="1">
      <alignment horizontal="center" vertical="center" wrapText="1"/>
      <protection locked="0"/>
    </xf>
    <xf numFmtId="49" fontId="7" fillId="3" borderId="35" xfId="0" applyNumberFormat="1" applyFont="1" applyFill="1" applyBorder="1" applyAlignment="1" applyProtection="1">
      <alignment horizontal="center" vertical="center" wrapText="1"/>
      <protection locked="0"/>
    </xf>
    <xf numFmtId="0" fontId="3" fillId="2" borderId="36" xfId="0" applyFont="1" applyFill="1" applyBorder="1" applyAlignment="1">
      <alignment horizontal="left" vertical="center" wrapText="1"/>
    </xf>
    <xf numFmtId="0" fontId="3" fillId="2" borderId="37" xfId="0" applyFont="1" applyFill="1" applyBorder="1" applyAlignment="1">
      <alignment horizontal="left" vertical="center"/>
    </xf>
    <xf numFmtId="49" fontId="7" fillId="3" borderId="38" xfId="0" applyNumberFormat="1" applyFont="1" applyFill="1" applyBorder="1" applyAlignment="1" applyProtection="1">
      <alignment horizontal="center" vertical="center" wrapText="1"/>
      <protection locked="0"/>
    </xf>
    <xf numFmtId="0" fontId="3" fillId="2" borderId="39" xfId="0" applyFont="1" applyFill="1" applyBorder="1" applyAlignment="1">
      <alignment horizontal="left" vertical="center"/>
    </xf>
    <xf numFmtId="0" fontId="3" fillId="2" borderId="0" xfId="0" applyFont="1" applyFill="1" applyAlignment="1">
      <alignment horizontal="left" vertical="center"/>
    </xf>
    <xf numFmtId="49" fontId="7" fillId="3" borderId="40" xfId="0" applyNumberFormat="1" applyFont="1" applyFill="1" applyBorder="1" applyAlignment="1" applyProtection="1">
      <alignment horizontal="center" vertical="center" wrapText="1"/>
      <protection locked="0"/>
    </xf>
    <xf numFmtId="0" fontId="8" fillId="3" borderId="20" xfId="0" applyFont="1" applyFill="1" applyBorder="1" applyAlignment="1">
      <alignment horizontal="center" vertical="center"/>
    </xf>
    <xf numFmtId="0" fontId="8" fillId="3" borderId="41" xfId="0" applyFont="1" applyFill="1" applyBorder="1" applyAlignment="1">
      <alignment horizontal="center" vertical="center"/>
    </xf>
    <xf numFmtId="49" fontId="7" fillId="3" borderId="42" xfId="0" applyNumberFormat="1" applyFont="1" applyFill="1" applyBorder="1" applyAlignment="1" applyProtection="1">
      <alignment horizontal="center" vertical="center" wrapText="1"/>
      <protection locked="0"/>
    </xf>
    <xf numFmtId="49" fontId="7" fillId="3" borderId="43" xfId="0" applyNumberFormat="1" applyFont="1" applyFill="1" applyBorder="1" applyAlignment="1" applyProtection="1">
      <alignment horizontal="center" vertical="center" wrapText="1"/>
      <protection locked="0"/>
    </xf>
    <xf numFmtId="49" fontId="7" fillId="3" borderId="24" xfId="0" applyNumberFormat="1" applyFont="1" applyFill="1" applyBorder="1" applyAlignment="1">
      <alignment horizontal="center" vertical="center" wrapText="1"/>
    </xf>
    <xf numFmtId="49" fontId="7" fillId="3" borderId="25" xfId="0" applyNumberFormat="1" applyFont="1" applyFill="1" applyBorder="1" applyAlignment="1">
      <alignment horizontal="center" vertical="center" wrapText="1"/>
    </xf>
    <xf numFmtId="49" fontId="7" fillId="3" borderId="26" xfId="0" applyNumberFormat="1" applyFont="1" applyFill="1" applyBorder="1" applyAlignment="1">
      <alignment horizontal="center" vertical="center" wrapText="1"/>
    </xf>
    <xf numFmtId="49" fontId="7" fillId="3" borderId="40" xfId="0" applyNumberFormat="1" applyFont="1" applyFill="1" applyBorder="1" applyAlignment="1">
      <alignment horizontal="center" vertical="center" wrapText="1"/>
    </xf>
    <xf numFmtId="0" fontId="3" fillId="2" borderId="22"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44" xfId="0" applyFont="1" applyFill="1" applyBorder="1" applyAlignment="1">
      <alignment horizontal="left" vertical="center"/>
    </xf>
    <xf numFmtId="0" fontId="3" fillId="2" borderId="27" xfId="0" applyFont="1" applyFill="1" applyBorder="1" applyAlignment="1">
      <alignment horizontal="left" vertical="center"/>
    </xf>
    <xf numFmtId="49" fontId="5" fillId="3" borderId="45" xfId="0" applyNumberFormat="1" applyFont="1" applyFill="1" applyBorder="1" applyAlignment="1" applyProtection="1">
      <alignment horizontal="center" vertical="center" wrapText="1"/>
      <protection locked="0"/>
    </xf>
    <xf numFmtId="0" fontId="6" fillId="0" borderId="0" xfId="0" applyFont="1"/>
    <xf numFmtId="49" fontId="5" fillId="0" borderId="0" xfId="0" applyNumberFormat="1" applyFont="1" applyAlignment="1" applyProtection="1">
      <alignment horizontal="center" vertical="center" wrapText="1"/>
      <protection locked="0"/>
    </xf>
    <xf numFmtId="0" fontId="3" fillId="2" borderId="48" xfId="0" applyFont="1" applyFill="1" applyBorder="1" applyAlignment="1">
      <alignment horizontal="center" vertical="center"/>
    </xf>
    <xf numFmtId="0" fontId="3" fillId="5" borderId="46" xfId="0" applyFont="1" applyFill="1" applyBorder="1" applyAlignment="1">
      <alignment horizontal="center" vertical="center"/>
    </xf>
    <xf numFmtId="0" fontId="3" fillId="5" borderId="47" xfId="0" applyFont="1" applyFill="1" applyBorder="1" applyAlignment="1">
      <alignment horizontal="center" vertical="center"/>
    </xf>
    <xf numFmtId="49" fontId="5" fillId="0" borderId="39" xfId="0" applyNumberFormat="1" applyFont="1" applyBorder="1" applyAlignment="1" applyProtection="1">
      <alignment horizontal="center" vertical="center" wrapText="1"/>
      <protection locked="0"/>
    </xf>
    <xf numFmtId="0" fontId="9" fillId="6" borderId="0" xfId="0" applyFont="1" applyFill="1" applyAlignment="1">
      <alignment horizontal="center" vertical="center" wrapText="1"/>
    </xf>
    <xf numFmtId="0" fontId="0" fillId="7" borderId="0" xfId="0" applyFill="1"/>
    <xf numFmtId="0" fontId="14" fillId="7" borderId="0" xfId="0" applyFont="1" applyFill="1" applyAlignment="1">
      <alignment horizontal="center"/>
    </xf>
    <xf numFmtId="49" fontId="7" fillId="3" borderId="49" xfId="0" applyNumberFormat="1" applyFont="1" applyFill="1" applyBorder="1" applyAlignment="1" applyProtection="1">
      <alignment horizontal="center" vertical="center" wrapText="1"/>
      <protection locked="0"/>
    </xf>
    <xf numFmtId="49" fontId="7" fillId="3" borderId="20" xfId="0" applyNumberFormat="1" applyFont="1" applyFill="1" applyBorder="1" applyAlignment="1" applyProtection="1">
      <alignment horizontal="center" vertical="center" wrapText="1"/>
      <protection locked="0"/>
    </xf>
    <xf numFmtId="49" fontId="7" fillId="3" borderId="21" xfId="0" applyNumberFormat="1" applyFont="1" applyFill="1" applyBorder="1" applyAlignment="1" applyProtection="1">
      <alignment horizontal="center" vertical="center" wrapText="1"/>
      <protection locked="0"/>
    </xf>
    <xf numFmtId="49" fontId="7" fillId="3" borderId="50" xfId="0" applyNumberFormat="1" applyFont="1" applyFill="1" applyBorder="1" applyAlignment="1" applyProtection="1">
      <alignment horizontal="center" vertical="center" wrapText="1"/>
      <protection locked="0"/>
    </xf>
    <xf numFmtId="49" fontId="7" fillId="3" borderId="29" xfId="0" applyNumberFormat="1" applyFont="1" applyFill="1" applyBorder="1" applyAlignment="1" applyProtection="1">
      <alignment horizontal="center" vertical="center" wrapText="1"/>
      <protection locked="0"/>
    </xf>
    <xf numFmtId="49" fontId="7" fillId="3" borderId="30" xfId="0" applyNumberFormat="1" applyFont="1" applyFill="1" applyBorder="1" applyAlignment="1" applyProtection="1">
      <alignment horizontal="center" vertical="center" wrapText="1"/>
      <protection locked="0"/>
    </xf>
    <xf numFmtId="49" fontId="7" fillId="3" borderId="51" xfId="0" applyNumberFormat="1" applyFont="1" applyFill="1" applyBorder="1" applyAlignment="1" applyProtection="1">
      <alignment horizontal="center" vertical="center" wrapText="1"/>
      <protection locked="0"/>
    </xf>
    <xf numFmtId="49" fontId="7" fillId="3" borderId="41" xfId="0" applyNumberFormat="1" applyFont="1" applyFill="1" applyBorder="1" applyAlignment="1" applyProtection="1">
      <alignment horizontal="center" vertical="center" wrapText="1"/>
      <protection locked="0"/>
    </xf>
    <xf numFmtId="49" fontId="7" fillId="3" borderId="52" xfId="0" applyNumberFormat="1" applyFont="1" applyFill="1" applyBorder="1" applyAlignment="1" applyProtection="1">
      <alignment horizontal="center" vertical="center" wrapText="1"/>
      <protection locked="0"/>
    </xf>
    <xf numFmtId="49" fontId="7" fillId="3" borderId="53" xfId="0" applyNumberFormat="1" applyFont="1" applyFill="1" applyBorder="1" applyAlignment="1" applyProtection="1">
      <alignment horizontal="center" vertical="center" wrapText="1"/>
      <protection locked="0"/>
    </xf>
    <xf numFmtId="0" fontId="3" fillId="2" borderId="31" xfId="0" applyFont="1" applyFill="1" applyBorder="1" applyAlignment="1">
      <alignment horizontal="center" vertical="center" wrapText="1"/>
    </xf>
    <xf numFmtId="0" fontId="3" fillId="2" borderId="32"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54" xfId="0" applyFont="1" applyFill="1" applyBorder="1" applyAlignment="1">
      <alignment horizontal="center" vertical="center"/>
    </xf>
    <xf numFmtId="0" fontId="3" fillId="2" borderId="55" xfId="0" applyFont="1" applyFill="1" applyBorder="1" applyAlignment="1">
      <alignment horizontal="center" vertical="center"/>
    </xf>
    <xf numFmtId="0" fontId="16" fillId="2" borderId="1" xfId="0" applyFont="1" applyFill="1" applyBorder="1" applyAlignment="1">
      <alignment horizontal="center" vertical="center"/>
    </xf>
    <xf numFmtId="0" fontId="16" fillId="2" borderId="5" xfId="0" applyFont="1" applyFill="1" applyBorder="1" applyAlignment="1">
      <alignment horizontal="center" vertical="center"/>
    </xf>
    <xf numFmtId="49" fontId="7" fillId="3" borderId="57" xfId="0" applyNumberFormat="1" applyFont="1" applyFill="1" applyBorder="1" applyAlignment="1" applyProtection="1">
      <alignment horizontal="center" vertical="center" wrapText="1"/>
      <protection locked="0"/>
    </xf>
    <xf numFmtId="49" fontId="7" fillId="3" borderId="58" xfId="0" applyNumberFormat="1" applyFont="1" applyFill="1" applyBorder="1" applyAlignment="1" applyProtection="1">
      <alignment horizontal="center" vertical="center" wrapText="1"/>
      <protection locked="0"/>
    </xf>
    <xf numFmtId="49" fontId="7" fillId="3" borderId="59" xfId="0" applyNumberFormat="1" applyFont="1" applyFill="1" applyBorder="1" applyAlignment="1" applyProtection="1">
      <alignment horizontal="center" vertical="center" wrapText="1"/>
      <protection locked="0"/>
    </xf>
    <xf numFmtId="49" fontId="7" fillId="3" borderId="60" xfId="0" applyNumberFormat="1" applyFont="1" applyFill="1" applyBorder="1" applyAlignment="1" applyProtection="1">
      <alignment horizontal="center" vertical="center" wrapText="1"/>
      <protection locked="0"/>
    </xf>
    <xf numFmtId="49" fontId="7" fillId="3" borderId="61" xfId="0" applyNumberFormat="1" applyFont="1" applyFill="1" applyBorder="1" applyAlignment="1" applyProtection="1">
      <alignment horizontal="center" vertical="center" wrapText="1"/>
      <protection locked="0"/>
    </xf>
    <xf numFmtId="49" fontId="7" fillId="3" borderId="62" xfId="0" applyNumberFormat="1" applyFont="1" applyFill="1" applyBorder="1" applyAlignment="1" applyProtection="1">
      <alignment horizontal="center" vertical="center" wrapText="1"/>
      <protection locked="0"/>
    </xf>
    <xf numFmtId="165" fontId="5" fillId="3" borderId="45" xfId="0" applyNumberFormat="1" applyFont="1" applyFill="1" applyBorder="1" applyAlignment="1" applyProtection="1">
      <alignment horizontal="center" vertical="center" wrapText="1"/>
      <protection locked="0"/>
    </xf>
    <xf numFmtId="165" fontId="5" fillId="3" borderId="5" xfId="0" applyNumberFormat="1" applyFont="1" applyFill="1" applyBorder="1" applyAlignment="1" applyProtection="1">
      <alignment horizontal="center" vertical="center" wrapText="1"/>
      <protection locked="0"/>
    </xf>
    <xf numFmtId="0" fontId="15" fillId="2" borderId="63" xfId="0" applyFont="1" applyFill="1" applyBorder="1" applyAlignment="1">
      <alignment horizontal="left" vertical="center" wrapText="1"/>
    </xf>
    <xf numFmtId="49" fontId="8" fillId="8" borderId="64" xfId="0" applyNumberFormat="1" applyFont="1" applyFill="1" applyBorder="1" applyAlignment="1">
      <alignment horizontal="left" vertical="center"/>
    </xf>
    <xf numFmtId="0" fontId="8" fillId="8" borderId="65" xfId="0" applyFont="1" applyFill="1" applyBorder="1" applyAlignment="1">
      <alignment horizontal="left" vertical="center"/>
    </xf>
    <xf numFmtId="0" fontId="8" fillId="8" borderId="66" xfId="0" applyFont="1" applyFill="1" applyBorder="1" applyAlignment="1">
      <alignment horizontal="left" vertical="center"/>
    </xf>
    <xf numFmtId="0" fontId="17" fillId="9" borderId="67" xfId="0" applyFont="1" applyFill="1" applyBorder="1" applyAlignment="1">
      <alignment horizontal="center" vertical="center" wrapText="1"/>
    </xf>
    <xf numFmtId="0" fontId="17" fillId="9" borderId="64" xfId="0" applyFont="1" applyFill="1" applyBorder="1" applyAlignment="1">
      <alignment horizontal="center" vertical="center" wrapText="1"/>
    </xf>
    <xf numFmtId="0" fontId="17" fillId="9" borderId="66" xfId="0" applyFont="1" applyFill="1" applyBorder="1" applyAlignment="1">
      <alignment horizontal="center" vertical="center" wrapText="1"/>
    </xf>
    <xf numFmtId="0" fontId="18" fillId="10" borderId="67" xfId="0" applyFont="1" applyFill="1" applyBorder="1" applyAlignment="1">
      <alignment horizontal="center" vertical="center" wrapText="1"/>
    </xf>
    <xf numFmtId="0" fontId="18" fillId="10" borderId="67" xfId="0" applyFont="1" applyFill="1" applyBorder="1" applyAlignment="1">
      <alignment horizontal="left" vertical="center" wrapText="1"/>
    </xf>
    <xf numFmtId="0" fontId="20" fillId="0" borderId="64" xfId="0" applyFont="1" applyBorder="1" applyAlignment="1">
      <alignment horizontal="center" vertical="center" wrapText="1"/>
    </xf>
    <xf numFmtId="0" fontId="20" fillId="0" borderId="66" xfId="0" applyFont="1" applyBorder="1" applyAlignment="1">
      <alignment horizontal="center" vertical="center" wrapText="1"/>
    </xf>
    <xf numFmtId="0" fontId="21" fillId="8" borderId="67" xfId="0" applyFont="1" applyFill="1" applyBorder="1" applyAlignment="1">
      <alignment horizontal="center" vertical="center" wrapText="1"/>
    </xf>
    <xf numFmtId="0" fontId="24" fillId="0" borderId="63" xfId="0" applyFont="1" applyBorder="1" applyAlignment="1">
      <alignment horizontal="center" vertical="center" wrapText="1"/>
    </xf>
    <xf numFmtId="0" fontId="23" fillId="11" borderId="67" xfId="0" applyFont="1" applyFill="1" applyBorder="1" applyAlignment="1">
      <alignment horizontal="center" vertical="center" wrapText="1"/>
    </xf>
    <xf numFmtId="0" fontId="24" fillId="0" borderId="68" xfId="0" applyFont="1" applyBorder="1" applyAlignment="1">
      <alignment horizontal="center" vertical="center" wrapText="1"/>
    </xf>
    <xf numFmtId="0" fontId="10" fillId="2" borderId="0" xfId="0" applyFont="1" applyFill="1" applyBorder="1" applyAlignment="1">
      <alignment horizontal="center" vertical="center" wrapText="1"/>
    </xf>
    <xf numFmtId="0" fontId="15" fillId="7" borderId="0" xfId="0" applyFont="1" applyFill="1" applyAlignment="1">
      <alignment horizontal="center" vertical="center"/>
    </xf>
    <xf numFmtId="9" fontId="27" fillId="2" borderId="56" xfId="2" applyFont="1" applyFill="1" applyBorder="1" applyAlignment="1" applyProtection="1">
      <alignment horizontal="center" vertical="center" wrapText="1"/>
    </xf>
    <xf numFmtId="0" fontId="25" fillId="4" borderId="69" xfId="0" applyFont="1" applyFill="1" applyBorder="1" applyAlignment="1">
      <alignment horizontal="center" vertical="center" wrapText="1"/>
    </xf>
    <xf numFmtId="0" fontId="25" fillId="4" borderId="0" xfId="0" applyFont="1" applyFill="1" applyBorder="1" applyAlignment="1">
      <alignment horizontal="center" vertical="center" wrapText="1"/>
    </xf>
    <xf numFmtId="0" fontId="14" fillId="7" borderId="0" xfId="0" applyFont="1" applyFill="1" applyAlignment="1">
      <alignment horizontal="center" vertical="center"/>
    </xf>
    <xf numFmtId="0" fontId="0" fillId="0" borderId="0" xfId="0" applyAlignment="1"/>
    <xf numFmtId="0" fontId="10" fillId="2" borderId="0" xfId="0" applyFont="1" applyFill="1" applyBorder="1" applyAlignment="1">
      <alignment horizontal="center" vertical="top" wrapText="1"/>
    </xf>
    <xf numFmtId="0" fontId="10" fillId="2" borderId="0" xfId="0" applyFont="1" applyFill="1" applyBorder="1" applyAlignment="1">
      <alignment horizontal="left" vertical="top" wrapText="1"/>
    </xf>
    <xf numFmtId="0" fontId="0" fillId="13" borderId="0" xfId="0" applyFill="1" applyAlignment="1">
      <alignment horizontal="center"/>
    </xf>
    <xf numFmtId="0" fontId="31" fillId="0" borderId="0" xfId="0" applyFont="1"/>
    <xf numFmtId="168" fontId="9" fillId="14" borderId="70" xfId="3" applyFont="1" applyFill="1" applyBorder="1" applyAlignment="1">
      <alignment horizontal="center" vertical="center" wrapText="1"/>
    </xf>
    <xf numFmtId="168" fontId="9" fillId="14" borderId="71" xfId="3" applyFont="1" applyFill="1" applyBorder="1" applyAlignment="1">
      <alignment horizontal="center" vertical="center" wrapText="1"/>
    </xf>
    <xf numFmtId="168" fontId="9" fillId="14" borderId="72" xfId="3" applyFont="1" applyFill="1" applyBorder="1" applyAlignment="1">
      <alignment horizontal="center" vertical="center" wrapText="1"/>
    </xf>
    <xf numFmtId="43" fontId="33" fillId="3" borderId="73" xfId="1" applyFont="1" applyFill="1" applyBorder="1" applyAlignment="1">
      <alignment horizontal="center" vertical="center" wrapText="1"/>
    </xf>
    <xf numFmtId="2" fontId="33" fillId="4" borderId="74" xfId="4" applyNumberFormat="1" applyFont="1" applyFill="1" applyBorder="1" applyAlignment="1" applyProtection="1">
      <alignment horizontal="center" vertical="center"/>
      <protection locked="0"/>
    </xf>
    <xf numFmtId="43" fontId="34" fillId="3" borderId="73" xfId="1" applyFont="1" applyFill="1" applyBorder="1" applyAlignment="1">
      <alignment horizontal="center" vertical="center" wrapText="1"/>
    </xf>
    <xf numFmtId="2" fontId="33" fillId="4" borderId="75" xfId="4" applyNumberFormat="1" applyFont="1" applyFill="1" applyBorder="1" applyAlignment="1" applyProtection="1">
      <alignment horizontal="center" vertical="center"/>
      <protection locked="0"/>
    </xf>
    <xf numFmtId="2" fontId="33" fillId="0" borderId="75" xfId="4" applyNumberFormat="1" applyFont="1" applyFill="1" applyBorder="1" applyAlignment="1" applyProtection="1">
      <alignment horizontal="center" vertical="center"/>
      <protection locked="0"/>
    </xf>
    <xf numFmtId="43" fontId="33" fillId="3" borderId="73" xfId="1" applyFont="1" applyFill="1" applyBorder="1" applyAlignment="1">
      <alignment horizontal="center" wrapText="1"/>
    </xf>
    <xf numFmtId="2" fontId="35" fillId="15" borderId="0" xfId="1" applyNumberFormat="1" applyFont="1" applyFill="1" applyBorder="1" applyAlignment="1">
      <alignment horizontal="center" vertical="center"/>
    </xf>
    <xf numFmtId="43" fontId="33" fillId="3" borderId="76" xfId="1" applyFont="1" applyFill="1" applyBorder="1" applyAlignment="1">
      <alignment horizontal="center" wrapText="1"/>
    </xf>
    <xf numFmtId="2" fontId="35" fillId="0" borderId="77" xfId="1" applyNumberFormat="1" applyFont="1" applyBorder="1" applyAlignment="1">
      <alignment horizontal="center" vertical="center" wrapText="1"/>
    </xf>
    <xf numFmtId="0" fontId="15" fillId="16" borderId="78" xfId="6" applyNumberFormat="1" applyFont="1" applyFill="1" applyBorder="1" applyAlignment="1">
      <alignment horizontal="center" vertical="center" wrapText="1"/>
    </xf>
    <xf numFmtId="0" fontId="15" fillId="16" borderId="79" xfId="0" applyFont="1" applyFill="1" applyBorder="1" applyAlignment="1">
      <alignment horizontal="center" vertical="center" wrapText="1"/>
    </xf>
    <xf numFmtId="0" fontId="15" fillId="16" borderId="80" xfId="0" applyFont="1" applyFill="1" applyBorder="1" applyAlignment="1">
      <alignment horizontal="center" vertical="center" wrapText="1"/>
    </xf>
    <xf numFmtId="164" fontId="15" fillId="16" borderId="81" xfId="6" applyNumberFormat="1" applyFont="1" applyFill="1" applyBorder="1" applyAlignment="1">
      <alignment horizontal="center" vertical="center" wrapText="1"/>
    </xf>
    <xf numFmtId="164" fontId="15" fillId="16" borderId="82" xfId="6" applyNumberFormat="1" applyFont="1" applyFill="1" applyBorder="1" applyAlignment="1">
      <alignment horizontal="center" vertical="center" wrapText="1"/>
    </xf>
    <xf numFmtId="0" fontId="36" fillId="3" borderId="83" xfId="6" applyNumberFormat="1" applyFont="1" applyFill="1" applyBorder="1" applyAlignment="1" applyProtection="1">
      <alignment horizontal="center" vertical="center" wrapText="1"/>
      <protection locked="0"/>
    </xf>
    <xf numFmtId="0" fontId="36" fillId="3" borderId="84" xfId="6" applyNumberFormat="1" applyFont="1" applyFill="1" applyBorder="1" applyAlignment="1" applyProtection="1">
      <alignment horizontal="center" vertical="top" wrapText="1"/>
      <protection locked="0"/>
    </xf>
    <xf numFmtId="2" fontId="13" fillId="3" borderId="84" xfId="0" applyNumberFormat="1" applyFont="1" applyFill="1" applyBorder="1" applyAlignment="1">
      <alignment horizontal="center" vertical="center"/>
    </xf>
    <xf numFmtId="2" fontId="13" fillId="3" borderId="85" xfId="0" applyNumberFormat="1" applyFont="1" applyFill="1" applyBorder="1" applyAlignment="1">
      <alignment horizontal="center" vertical="center"/>
    </xf>
    <xf numFmtId="9" fontId="36" fillId="3" borderId="86" xfId="7" applyFont="1" applyFill="1" applyBorder="1" applyAlignment="1">
      <alignment horizontal="center" vertical="center"/>
    </xf>
    <xf numFmtId="9" fontId="36" fillId="3" borderId="87" xfId="7" applyFont="1" applyFill="1" applyBorder="1" applyAlignment="1">
      <alignment horizontal="center" vertical="center"/>
    </xf>
    <xf numFmtId="0" fontId="36" fillId="3" borderId="83" xfId="6" applyNumberFormat="1" applyFont="1" applyFill="1" applyBorder="1" applyAlignment="1" applyProtection="1">
      <alignment horizontal="center" vertical="top" wrapText="1"/>
      <protection locked="0"/>
    </xf>
    <xf numFmtId="0" fontId="36" fillId="3" borderId="85" xfId="6" applyNumberFormat="1" applyFont="1" applyFill="1" applyBorder="1" applyAlignment="1" applyProtection="1">
      <alignment horizontal="center" vertical="top" wrapText="1"/>
      <protection locked="0"/>
    </xf>
    <xf numFmtId="171" fontId="15" fillId="16" borderId="78" xfId="6" applyNumberFormat="1" applyFont="1" applyFill="1" applyBorder="1" applyAlignment="1">
      <alignment horizontal="center" vertical="center" wrapText="1"/>
    </xf>
    <xf numFmtId="9" fontId="15" fillId="16" borderId="78" xfId="6" applyNumberFormat="1" applyFont="1" applyFill="1" applyBorder="1" applyAlignment="1">
      <alignment horizontal="center" vertical="center" wrapText="1"/>
    </xf>
    <xf numFmtId="168" fontId="16" fillId="0" borderId="0" xfId="8" applyFont="1" applyAlignment="1">
      <alignment horizontal="center" vertical="center" wrapText="1"/>
    </xf>
    <xf numFmtId="168" fontId="12" fillId="0" borderId="0" xfId="8" applyFont="1" applyAlignment="1">
      <alignment horizontal="center" vertical="center" wrapText="1"/>
    </xf>
    <xf numFmtId="168" fontId="12" fillId="0" borderId="0" xfId="8" applyFont="1"/>
    <xf numFmtId="168" fontId="12" fillId="0" borderId="0" xfId="8" applyFont="1" applyAlignment="1">
      <alignment horizontal="center" vertical="center"/>
    </xf>
    <xf numFmtId="168" fontId="39" fillId="0" borderId="0" xfId="8" applyFont="1" applyAlignment="1">
      <alignment horizontal="center" vertical="center" wrapText="1"/>
    </xf>
    <xf numFmtId="0" fontId="40" fillId="0" borderId="0" xfId="8" applyNumberFormat="1" applyFont="1" applyBorder="1" applyAlignment="1">
      <alignment horizontal="center" vertical="center" wrapText="1"/>
    </xf>
    <xf numFmtId="0" fontId="11" fillId="17" borderId="0" xfId="8" applyNumberFormat="1" applyFont="1" applyFill="1" applyBorder="1" applyAlignment="1">
      <alignment horizontal="center" vertical="center" wrapText="1"/>
    </xf>
    <xf numFmtId="0" fontId="40" fillId="0" borderId="88" xfId="8" applyNumberFormat="1" applyFont="1" applyBorder="1" applyAlignment="1">
      <alignment horizontal="center" vertical="center" wrapText="1"/>
    </xf>
    <xf numFmtId="0" fontId="40" fillId="0" borderId="89" xfId="8" applyNumberFormat="1" applyFont="1" applyBorder="1" applyAlignment="1">
      <alignment horizontal="center" vertical="center" wrapText="1"/>
    </xf>
    <xf numFmtId="0" fontId="40" fillId="0" borderId="90" xfId="8" applyNumberFormat="1" applyFont="1" applyBorder="1" applyAlignment="1">
      <alignment horizontal="center" vertical="center" wrapText="1"/>
    </xf>
    <xf numFmtId="0" fontId="40" fillId="0" borderId="91" xfId="8" applyNumberFormat="1" applyFont="1" applyBorder="1" applyAlignment="1">
      <alignment horizontal="center" vertical="center" wrapText="1"/>
    </xf>
    <xf numFmtId="0" fontId="40" fillId="0" borderId="92" xfId="8" applyNumberFormat="1" applyFont="1" applyBorder="1" applyAlignment="1">
      <alignment horizontal="center" vertical="center" wrapText="1"/>
    </xf>
    <xf numFmtId="0" fontId="40" fillId="0" borderId="93" xfId="8" applyNumberFormat="1" applyFont="1" applyBorder="1" applyAlignment="1">
      <alignment horizontal="center" vertical="center" wrapText="1"/>
    </xf>
    <xf numFmtId="0" fontId="40" fillId="0" borderId="94" xfId="8" applyNumberFormat="1" applyFont="1" applyBorder="1" applyAlignment="1">
      <alignment horizontal="center" vertical="center" wrapText="1"/>
    </xf>
    <xf numFmtId="0" fontId="40" fillId="0" borderId="95" xfId="8" applyNumberFormat="1" applyFont="1" applyBorder="1" applyAlignment="1">
      <alignment horizontal="center" vertical="center" wrapText="1"/>
    </xf>
    <xf numFmtId="0" fontId="11" fillId="17" borderId="91" xfId="8" applyNumberFormat="1" applyFont="1" applyFill="1" applyBorder="1" applyAlignment="1">
      <alignment horizontal="center" vertical="center" wrapText="1"/>
    </xf>
    <xf numFmtId="0" fontId="11" fillId="17" borderId="92" xfId="8" applyNumberFormat="1" applyFont="1" applyFill="1" applyBorder="1" applyAlignment="1">
      <alignment horizontal="center" vertical="center" wrapText="1"/>
    </xf>
    <xf numFmtId="0" fontId="11" fillId="17" borderId="93" xfId="8" applyNumberFormat="1" applyFont="1" applyFill="1" applyBorder="1" applyAlignment="1">
      <alignment horizontal="center" vertical="center" wrapText="1"/>
    </xf>
    <xf numFmtId="0" fontId="11" fillId="17" borderId="94" xfId="8" applyNumberFormat="1" applyFont="1" applyFill="1" applyBorder="1" applyAlignment="1">
      <alignment horizontal="center" vertical="center" wrapText="1"/>
    </xf>
    <xf numFmtId="0" fontId="11" fillId="17" borderId="95" xfId="8" applyNumberFormat="1" applyFont="1" applyFill="1" applyBorder="1" applyAlignment="1">
      <alignment horizontal="center" vertical="center" wrapText="1"/>
    </xf>
    <xf numFmtId="0" fontId="11" fillId="17" borderId="88" xfId="8" applyNumberFormat="1" applyFont="1" applyFill="1" applyBorder="1" applyAlignment="1">
      <alignment horizontal="center" vertical="center" wrapText="1"/>
    </xf>
    <xf numFmtId="0" fontId="11" fillId="17" borderId="89" xfId="8" applyNumberFormat="1" applyFont="1" applyFill="1" applyBorder="1" applyAlignment="1">
      <alignment horizontal="center" vertical="center" wrapText="1"/>
    </xf>
    <xf numFmtId="0" fontId="11" fillId="17" borderId="90" xfId="8" applyNumberFormat="1" applyFont="1" applyFill="1" applyBorder="1" applyAlignment="1">
      <alignment horizontal="center" vertical="center" wrapText="1"/>
    </xf>
    <xf numFmtId="168" fontId="41" fillId="0" borderId="0" xfId="8" applyFont="1" applyAlignment="1">
      <alignment horizontal="left" vertical="center"/>
    </xf>
    <xf numFmtId="168" fontId="41" fillId="0" borderId="0" xfId="8" applyFont="1" applyAlignment="1">
      <alignment horizontal="left" vertical="center"/>
    </xf>
    <xf numFmtId="168" fontId="16" fillId="18" borderId="0" xfId="8" applyFont="1" applyFill="1" applyAlignment="1">
      <alignment horizontal="center" vertical="center"/>
    </xf>
    <xf numFmtId="168" fontId="16" fillId="18" borderId="96" xfId="8" applyFont="1" applyFill="1" applyBorder="1" applyAlignment="1">
      <alignment horizontal="center" vertical="center" wrapText="1"/>
    </xf>
    <xf numFmtId="0" fontId="42" fillId="19" borderId="0" xfId="8" applyNumberFormat="1" applyFont="1" applyFill="1" applyAlignment="1">
      <alignment horizontal="center" vertical="center"/>
    </xf>
    <xf numFmtId="0" fontId="42" fillId="19" borderId="0" xfId="8" applyNumberFormat="1" applyFont="1" applyFill="1" applyAlignment="1">
      <alignment horizontal="center" vertical="center" wrapText="1"/>
    </xf>
    <xf numFmtId="0" fontId="12" fillId="8" borderId="97" xfId="8" applyNumberFormat="1" applyFont="1" applyFill="1" applyBorder="1" applyAlignment="1">
      <alignment horizontal="center" vertical="center" wrapText="1"/>
    </xf>
    <xf numFmtId="0" fontId="12" fillId="8" borderId="98" xfId="8" applyNumberFormat="1" applyFont="1" applyFill="1" applyBorder="1" applyAlignment="1">
      <alignment horizontal="center" vertical="center" wrapText="1"/>
    </xf>
    <xf numFmtId="0" fontId="12" fillId="20" borderId="97" xfId="8" applyNumberFormat="1" applyFont="1" applyFill="1" applyBorder="1" applyAlignment="1">
      <alignment horizontal="center" vertical="center"/>
    </xf>
    <xf numFmtId="0" fontId="12" fillId="20" borderId="98" xfId="8" applyNumberFormat="1" applyFont="1" applyFill="1" applyBorder="1" applyAlignment="1">
      <alignment horizontal="center" vertical="center"/>
    </xf>
    <xf numFmtId="0" fontId="12" fillId="20" borderId="99" xfId="8" applyNumberFormat="1" applyFont="1" applyFill="1" applyBorder="1" applyAlignment="1">
      <alignment horizontal="center" vertical="center"/>
    </xf>
    <xf numFmtId="0" fontId="12" fillId="12" borderId="97" xfId="8" applyNumberFormat="1" applyFont="1" applyFill="1" applyBorder="1" applyAlignment="1">
      <alignment horizontal="center" vertical="center"/>
    </xf>
    <xf numFmtId="0" fontId="12" fillId="12" borderId="99" xfId="8" applyNumberFormat="1" applyFont="1" applyFill="1" applyBorder="1" applyAlignment="1">
      <alignment horizontal="center" vertical="center"/>
    </xf>
    <xf numFmtId="0" fontId="12" fillId="8" borderId="99" xfId="8" applyNumberFormat="1" applyFont="1" applyFill="1" applyBorder="1" applyAlignment="1">
      <alignment horizontal="center" vertical="center"/>
    </xf>
    <xf numFmtId="0" fontId="12" fillId="21" borderId="97" xfId="8" applyNumberFormat="1" applyFont="1" applyFill="1" applyBorder="1" applyAlignment="1">
      <alignment horizontal="center" vertical="center"/>
    </xf>
    <xf numFmtId="0" fontId="12" fillId="21" borderId="99" xfId="8" applyNumberFormat="1" applyFont="1" applyFill="1" applyBorder="1" applyAlignment="1">
      <alignment horizontal="center" vertical="center"/>
    </xf>
    <xf numFmtId="0" fontId="12" fillId="8" borderId="97" xfId="8" applyNumberFormat="1" applyFont="1" applyFill="1" applyBorder="1" applyAlignment="1">
      <alignment horizontal="center" vertical="center"/>
    </xf>
    <xf numFmtId="168" fontId="16" fillId="18" borderId="96" xfId="8" applyFont="1" applyFill="1" applyBorder="1" applyAlignment="1">
      <alignment horizontal="center" vertical="center"/>
    </xf>
    <xf numFmtId="0" fontId="43" fillId="3" borderId="85" xfId="8" applyNumberFormat="1" applyFont="1" applyFill="1" applyBorder="1" applyAlignment="1">
      <alignment horizontal="center" vertical="center" wrapText="1"/>
    </xf>
    <xf numFmtId="0" fontId="1" fillId="0" borderId="0" xfId="0" applyFont="1"/>
    <xf numFmtId="0" fontId="43" fillId="3" borderId="85" xfId="8" applyNumberFormat="1" applyFont="1" applyFill="1" applyBorder="1" applyAlignment="1">
      <alignment horizontal="center" vertical="center"/>
    </xf>
    <xf numFmtId="0" fontId="2" fillId="19" borderId="85" xfId="8" applyNumberFormat="1" applyFont="1" applyFill="1" applyBorder="1" applyAlignment="1">
      <alignment horizontal="center" vertical="center" wrapText="1"/>
    </xf>
    <xf numFmtId="0" fontId="44" fillId="0" borderId="0" xfId="0" applyFont="1" applyAlignment="1">
      <alignment horizontal="center" vertical="center"/>
    </xf>
    <xf numFmtId="0" fontId="45" fillId="0" borderId="0" xfId="0" applyFont="1" applyAlignment="1">
      <alignment horizontal="right" vertical="center"/>
    </xf>
    <xf numFmtId="0" fontId="3" fillId="18" borderId="97" xfId="0" applyFont="1" applyFill="1" applyBorder="1" applyAlignment="1">
      <alignment horizontal="center" vertical="center" wrapText="1"/>
    </xf>
    <xf numFmtId="0" fontId="3" fillId="18" borderId="97" xfId="0" applyFont="1" applyFill="1" applyBorder="1" applyAlignment="1">
      <alignment horizontal="center" vertical="center"/>
    </xf>
    <xf numFmtId="0" fontId="3" fillId="18" borderId="98" xfId="0" applyFont="1" applyFill="1" applyBorder="1" applyAlignment="1">
      <alignment horizontal="center" vertical="center"/>
    </xf>
    <xf numFmtId="0" fontId="3" fillId="18" borderId="99" xfId="0" applyFont="1" applyFill="1" applyBorder="1" applyAlignment="1">
      <alignment horizontal="center" vertical="center"/>
    </xf>
    <xf numFmtId="0" fontId="25" fillId="8" borderId="85" xfId="0" applyFont="1" applyFill="1" applyBorder="1" applyAlignment="1">
      <alignment horizontal="center" vertical="center" wrapText="1"/>
    </xf>
    <xf numFmtId="0" fontId="29" fillId="8" borderId="85" xfId="0" applyFont="1" applyFill="1" applyBorder="1" applyAlignment="1">
      <alignment horizontal="center" vertical="center" wrapText="1"/>
    </xf>
    <xf numFmtId="0" fontId="29" fillId="21" borderId="85" xfId="0" applyFont="1" applyFill="1" applyBorder="1" applyAlignment="1">
      <alignment horizontal="center" vertical="center" wrapText="1"/>
    </xf>
    <xf numFmtId="0" fontId="29" fillId="8" borderId="100" xfId="0" applyFont="1" applyFill="1" applyBorder="1" applyAlignment="1">
      <alignment horizontal="center" vertical="center" wrapText="1"/>
    </xf>
    <xf numFmtId="0" fontId="3" fillId="18" borderId="0" xfId="0" applyFont="1" applyFill="1" applyBorder="1" applyAlignment="1">
      <alignment horizontal="center" vertical="center"/>
    </xf>
    <xf numFmtId="0" fontId="46" fillId="0" borderId="0" xfId="0" applyFont="1"/>
    <xf numFmtId="0" fontId="6" fillId="3" borderId="107" xfId="0" applyFont="1" applyFill="1" applyBorder="1" applyAlignment="1">
      <alignment horizontal="center" vertical="center" wrapText="1"/>
    </xf>
    <xf numFmtId="0" fontId="9" fillId="22" borderId="0" xfId="0" applyFont="1" applyFill="1" applyAlignment="1">
      <alignment horizontal="center" vertical="center" wrapText="1"/>
    </xf>
    <xf numFmtId="0" fontId="9" fillId="23" borderId="73" xfId="0" applyFont="1" applyFill="1" applyBorder="1" applyAlignment="1">
      <alignment horizontal="center" vertical="center" wrapText="1"/>
    </xf>
    <xf numFmtId="0" fontId="9" fillId="23" borderId="101" xfId="0" applyFont="1" applyFill="1" applyBorder="1" applyAlignment="1">
      <alignment horizontal="center" vertical="center" wrapText="1"/>
    </xf>
    <xf numFmtId="0" fontId="9" fillId="23" borderId="102" xfId="0" applyFont="1" applyFill="1" applyBorder="1" applyAlignment="1">
      <alignment horizontal="center" vertical="center" wrapText="1"/>
    </xf>
    <xf numFmtId="0" fontId="9" fillId="22" borderId="103" xfId="0" applyFont="1" applyFill="1" applyBorder="1" applyAlignment="1">
      <alignment horizontal="center" vertical="center" wrapText="1"/>
    </xf>
    <xf numFmtId="0" fontId="9" fillId="22" borderId="104" xfId="0" applyFont="1" applyFill="1" applyBorder="1" applyAlignment="1">
      <alignment horizontal="center" vertical="center" wrapText="1"/>
    </xf>
    <xf numFmtId="0" fontId="9" fillId="23" borderId="105" xfId="0" applyFont="1" applyFill="1" applyBorder="1" applyAlignment="1">
      <alignment horizontal="center" vertical="center" wrapText="1"/>
    </xf>
    <xf numFmtId="0" fontId="9" fillId="22" borderId="105" xfId="0" applyFont="1" applyFill="1" applyBorder="1" applyAlignment="1">
      <alignment horizontal="center" vertical="center" wrapText="1"/>
    </xf>
    <xf numFmtId="0" fontId="9" fillId="22" borderId="106" xfId="0" applyFont="1" applyFill="1" applyBorder="1" applyAlignment="1">
      <alignment horizontal="center" vertical="center" wrapText="1"/>
    </xf>
    <xf numFmtId="0" fontId="6" fillId="3" borderId="107" xfId="3" applyNumberFormat="1" applyFont="1" applyFill="1" applyBorder="1" applyAlignment="1">
      <alignment horizontal="center" vertical="center" wrapText="1"/>
    </xf>
    <xf numFmtId="0" fontId="6" fillId="0" borderId="107" xfId="3" applyNumberFormat="1" applyFont="1" applyBorder="1" applyAlignment="1">
      <alignment horizontal="center" vertical="center" wrapText="1"/>
    </xf>
    <xf numFmtId="0" fontId="9" fillId="12" borderId="107" xfId="3" applyNumberFormat="1" applyFont="1" applyFill="1" applyBorder="1" applyAlignment="1">
      <alignment horizontal="center" vertical="center" wrapText="1"/>
    </xf>
    <xf numFmtId="0" fontId="6" fillId="3" borderId="109" xfId="3" applyNumberFormat="1" applyFont="1" applyFill="1" applyBorder="1" applyAlignment="1">
      <alignment horizontal="center" vertical="center" wrapText="1"/>
    </xf>
    <xf numFmtId="0" fontId="29" fillId="8" borderId="111" xfId="0" applyFont="1" applyFill="1" applyBorder="1" applyAlignment="1">
      <alignment horizontal="center" vertical="center" wrapText="1"/>
    </xf>
    <xf numFmtId="0" fontId="9" fillId="0" borderId="107" xfId="3" applyNumberFormat="1" applyFont="1" applyBorder="1" applyAlignment="1">
      <alignment horizontal="center" vertical="center" wrapText="1"/>
    </xf>
    <xf numFmtId="0" fontId="15" fillId="22" borderId="108" xfId="0" applyFont="1" applyFill="1" applyBorder="1" applyAlignment="1">
      <alignment horizontal="center" vertical="center" wrapText="1"/>
    </xf>
    <xf numFmtId="0" fontId="15" fillId="22" borderId="73" xfId="0" applyFont="1" applyFill="1" applyBorder="1" applyAlignment="1">
      <alignment horizontal="center" vertical="center" wrapText="1"/>
    </xf>
    <xf numFmtId="0" fontId="47" fillId="0" borderId="110" xfId="0" applyFont="1" applyBorder="1" applyAlignment="1">
      <alignment horizontal="center" vertical="center" wrapText="1"/>
    </xf>
    <xf numFmtId="0" fontId="47" fillId="0" borderId="112" xfId="0" applyFont="1" applyBorder="1" applyAlignment="1">
      <alignment horizontal="center" vertical="center" wrapText="1"/>
    </xf>
    <xf numFmtId="0" fontId="6" fillId="0" borderId="116" xfId="0" applyFont="1" applyBorder="1" applyAlignment="1">
      <alignment horizontal="center" vertical="center" wrapText="1"/>
    </xf>
    <xf numFmtId="0" fontId="49" fillId="4" borderId="107" xfId="0" applyFont="1" applyFill="1" applyBorder="1" applyAlignment="1" applyProtection="1">
      <alignment horizontal="center" vertical="center" wrapText="1"/>
      <protection locked="0"/>
    </xf>
    <xf numFmtId="0" fontId="49" fillId="0" borderId="109" xfId="0" applyFont="1" applyBorder="1" applyAlignment="1" applyProtection="1">
      <alignment horizontal="center" vertical="center" wrapText="1"/>
      <protection locked="0"/>
    </xf>
    <xf numFmtId="165" fontId="8" fillId="0" borderId="109" xfId="0" applyNumberFormat="1" applyFont="1" applyBorder="1" applyAlignment="1">
      <alignment horizontal="center" vertical="center"/>
    </xf>
    <xf numFmtId="0" fontId="49" fillId="12" borderId="109" xfId="0" applyFont="1" applyFill="1" applyBorder="1" applyAlignment="1" applyProtection="1">
      <alignment horizontal="center" vertical="center" wrapText="1"/>
      <protection locked="0"/>
    </xf>
    <xf numFmtId="0" fontId="6" fillId="0" borderId="107" xfId="0" applyFont="1" applyBorder="1" applyAlignment="1">
      <alignment horizontal="center" vertical="center" wrapText="1"/>
    </xf>
    <xf numFmtId="0" fontId="6" fillId="0" borderId="109" xfId="0" applyFont="1" applyBorder="1" applyAlignment="1">
      <alignment horizontal="center" vertical="center" wrapText="1"/>
    </xf>
    <xf numFmtId="0" fontId="6" fillId="4" borderId="107" xfId="3" applyNumberFormat="1" applyFont="1" applyFill="1" applyBorder="1" applyAlignment="1">
      <alignment horizontal="center" vertical="center" wrapText="1"/>
    </xf>
    <xf numFmtId="0" fontId="6" fillId="0" borderId="109" xfId="0" applyFont="1" applyBorder="1" applyAlignment="1" applyProtection="1">
      <alignment horizontal="center" vertical="center" wrapText="1"/>
      <protection locked="0"/>
    </xf>
    <xf numFmtId="166" fontId="6" fillId="0" borderId="109" xfId="0" applyNumberFormat="1" applyFont="1" applyBorder="1" applyAlignment="1">
      <alignment horizontal="center" vertical="center" wrapText="1"/>
    </xf>
    <xf numFmtId="0" fontId="26" fillId="23" borderId="0" xfId="0" applyFont="1" applyFill="1" applyAlignment="1">
      <alignment horizontal="center" vertical="center" wrapText="1"/>
    </xf>
    <xf numFmtId="0" fontId="26" fillId="23" borderId="113" xfId="0" applyFont="1" applyFill="1" applyBorder="1" applyAlignment="1">
      <alignment horizontal="center" vertical="center" wrapText="1"/>
    </xf>
    <xf numFmtId="0" fontId="26" fillId="23" borderId="114" xfId="0" applyFont="1" applyFill="1" applyBorder="1" applyAlignment="1">
      <alignment horizontal="center" vertical="center" wrapText="1"/>
    </xf>
    <xf numFmtId="0" fontId="26" fillId="23" borderId="115" xfId="0" applyFont="1" applyFill="1" applyBorder="1" applyAlignment="1">
      <alignment horizontal="center" vertical="center" wrapText="1"/>
    </xf>
    <xf numFmtId="0" fontId="3" fillId="7" borderId="0" xfId="0" applyFont="1" applyFill="1" applyAlignment="1">
      <alignment horizontal="center" vertical="center"/>
    </xf>
  </cellXfs>
  <cellStyles count="9">
    <cellStyle name="Comma 2" xfId="4" xr:uid="{68355679-3E6A-43F6-99AC-98D8EE0DF6EC}"/>
    <cellStyle name="Millares" xfId="1" builtinId="3"/>
    <cellStyle name="Normal" xfId="0" builtinId="0"/>
    <cellStyle name="Normal - Style1 2 2" xfId="6" xr:uid="{01348001-E8C9-4823-8ED4-A103819B9BA8}"/>
    <cellStyle name="Normal 13" xfId="5" xr:uid="{27191FCC-968F-46B9-87B5-4F83C1C0CECD}"/>
    <cellStyle name="Normal 2" xfId="3" xr:uid="{8E54C32D-2F34-4754-AA52-C68968B874CB}"/>
    <cellStyle name="Normal 2 7" xfId="8" xr:uid="{89FDE180-4841-4BB0-A1B8-4504C3E4EE1F}"/>
    <cellStyle name="Percent 2" xfId="7" xr:uid="{D2F85BA6-828A-485E-A2C0-C27AAC47FD14}"/>
    <cellStyle name="Porcentaje" xfId="2" builtinId="5"/>
  </cellStyles>
  <dxfs count="16">
    <dxf>
      <fill>
        <patternFill>
          <bgColor theme="0" tint="-0.499984740745262"/>
        </patternFill>
      </fill>
    </dxf>
    <dxf>
      <fill>
        <patternFill>
          <bgColor rgb="FFFFFF00"/>
        </patternFill>
      </fill>
    </dxf>
    <dxf>
      <fill>
        <patternFill>
          <bgColor rgb="FFFF0000"/>
        </patternFill>
      </fill>
    </dxf>
    <dxf>
      <font>
        <b/>
        <i val="0"/>
        <color theme="0"/>
      </font>
      <fill>
        <patternFill>
          <bgColor rgb="FFFF0000"/>
        </patternFill>
      </fill>
    </dxf>
    <dxf>
      <fill>
        <patternFill>
          <bgColor theme="6" tint="-0.24994659260841701"/>
        </patternFill>
      </fill>
    </dxf>
    <dxf>
      <font>
        <b/>
        <i val="0"/>
        <color theme="0"/>
      </font>
      <fill>
        <patternFill>
          <bgColor rgb="FFFF0000"/>
        </patternFill>
      </fill>
    </dxf>
    <dxf>
      <fill>
        <patternFill>
          <bgColor theme="6" tint="-0.24994659260841701"/>
        </patternFill>
      </fill>
    </dxf>
    <dxf>
      <font>
        <b/>
        <i val="0"/>
        <color theme="0"/>
      </font>
      <fill>
        <patternFill>
          <bgColor rgb="FFFF0000"/>
        </patternFill>
      </fill>
    </dxf>
    <dxf>
      <fill>
        <patternFill>
          <bgColor theme="6" tint="-0.24994659260841701"/>
        </patternFill>
      </fill>
    </dxf>
    <dxf>
      <fill>
        <patternFill>
          <bgColor rgb="FF00B05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9"/>
    </mc:Choice>
    <mc:Fallback>
      <c:style val="9"/>
    </mc:Fallback>
  </mc:AlternateContent>
  <c:chart>
    <c:autoTitleDeleted val="1"/>
    <c:plotArea>
      <c:layout>
        <c:manualLayout>
          <c:layoutTarget val="inner"/>
          <c:xMode val="edge"/>
          <c:yMode val="edge"/>
          <c:x val="3.4367052655825278E-2"/>
          <c:y val="2.0165155827041859E-2"/>
          <c:w val="0.98252778883832559"/>
          <c:h val="0.79138297863875851"/>
        </c:manualLayout>
      </c:layout>
      <c:barChart>
        <c:barDir val="col"/>
        <c:grouping val="clustered"/>
        <c:varyColors val="0"/>
        <c:ser>
          <c:idx val="1"/>
          <c:order val="1"/>
          <c:tx>
            <c:strRef>
              <c:f>'[1]Current Time Series'!$E$13</c:f>
              <c:strCache>
                <c:ptCount val="1"/>
                <c:pt idx="0">
                  <c:v>ACTUAL</c:v>
                </c:pt>
              </c:strCache>
            </c:strRef>
          </c:tx>
          <c:spPr>
            <a:ln w="31750">
              <a:solidFill>
                <a:srgbClr val="23538D"/>
              </a:solidFill>
            </a:ln>
            <a:effectLst/>
          </c:spPr>
          <c:invertIfNegative val="0"/>
          <c:dLbls>
            <c:spPr>
              <a:noFill/>
              <a:ln>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'[1]Current Time Series'!$C$14:$C$27</c:f>
              <c:strCache>
                <c:ptCount val="14"/>
                <c:pt idx="0">
                  <c:v> Ene </c:v>
                </c:pt>
                <c:pt idx="1">
                  <c:v> Feb </c:v>
                </c:pt>
                <c:pt idx="2">
                  <c:v> Mar </c:v>
                </c:pt>
                <c:pt idx="3">
                  <c:v> Abri </c:v>
                </c:pt>
                <c:pt idx="4">
                  <c:v> May </c:v>
                </c:pt>
                <c:pt idx="5">
                  <c:v> Jun </c:v>
                </c:pt>
                <c:pt idx="6">
                  <c:v> Jul </c:v>
                </c:pt>
                <c:pt idx="7">
                  <c:v> Ago </c:v>
                </c:pt>
                <c:pt idx="8">
                  <c:v> Sep </c:v>
                </c:pt>
                <c:pt idx="9">
                  <c:v> Oct </c:v>
                </c:pt>
                <c:pt idx="10">
                  <c:v> Nov </c:v>
                </c:pt>
                <c:pt idx="11">
                  <c:v> Dic </c:v>
                </c:pt>
                <c:pt idx="12">
                  <c:v> YTD Target </c:v>
                </c:pt>
                <c:pt idx="13">
                  <c:v> YTD Actual </c:v>
                </c:pt>
              </c:strCache>
            </c:strRef>
          </c:cat>
          <c:val>
            <c:numRef>
              <c:f>'[1]Current Time Series'!$E$14:$E$25</c:f>
              <c:numCache>
                <c:formatCode>0.00</c:formatCode>
                <c:ptCount val="12"/>
                <c:pt idx="0">
                  <c:v>2.59</c:v>
                </c:pt>
                <c:pt idx="1">
                  <c:v>2.58</c:v>
                </c:pt>
                <c:pt idx="2">
                  <c:v>2.58</c:v>
                </c:pt>
                <c:pt idx="3">
                  <c:v>2.57</c:v>
                </c:pt>
                <c:pt idx="4">
                  <c:v>2.4700000000000002</c:v>
                </c:pt>
              </c:numCache>
            </c:numRef>
          </c:val>
          <c:extLst>
            <c:ext xmlns:c16="http://schemas.microsoft.com/office/drawing/2014/chart" uri="{C3380CC4-5D6E-409C-BE32-E72D297353CC}">
              <c16:uniqueId val="{00000000-CA3D-4B3C-8B9A-F62EF1BFA658}"/>
            </c:ext>
          </c:extLst>
        </c:ser>
        <c:ser>
          <c:idx val="3"/>
          <c:order val="3"/>
          <c:tx>
            <c:strRef>
              <c:f>'[1]Current Time Series'!$C$26</c:f>
              <c:strCache>
                <c:ptCount val="1"/>
                <c:pt idx="0">
                  <c:v> YTD Target </c:v>
                </c:pt>
              </c:strCache>
            </c:strRef>
          </c:tx>
          <c:spPr>
            <a:solidFill>
              <a:schemeClr val="bg1">
                <a:lumMod val="75000"/>
              </a:schemeClr>
            </a:solidFill>
            <a:effectLst/>
          </c:spPr>
          <c:invertIfNegative val="0"/>
          <c:dLbls>
            <c:spPr>
              <a:noFill/>
              <a:ln>
                <a:noFill/>
              </a:ln>
              <a:effectLst/>
            </c:spPr>
            <c:txPr>
              <a:bodyPr rot="0" vert="horz"/>
              <a:lstStyle/>
              <a:p>
                <a:pPr>
                  <a:defRPr/>
                </a:pPr>
                <a:endParaRPr lang="es-MX"/>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'[1]Current Time Series'!$C$26</c:f>
              <c:strCache>
                <c:ptCount val="1"/>
                <c:pt idx="0">
                  <c:v> YTD Target </c:v>
                </c:pt>
              </c:strCache>
            </c:strRef>
          </c:cat>
          <c:val>
            <c:numRef>
              <c:f>'[1]Current Time Series'!$L$54:$Y$54</c:f>
              <c:numCache>
                <c:formatCode>General</c:formatCode>
                <c:ptCount val="14"/>
                <c:pt idx="13" formatCode="0.00">
                  <c:v>2.5580000000000003</c:v>
                </c:pt>
              </c:numCache>
            </c:numRef>
          </c:val>
          <c:extLst>
            <c:ext xmlns:c16="http://schemas.microsoft.com/office/drawing/2014/chart" uri="{C3380CC4-5D6E-409C-BE32-E72D297353CC}">
              <c16:uniqueId val="{00000001-CA3D-4B3C-8B9A-F62EF1BFA658}"/>
            </c:ext>
          </c:extLst>
        </c:ser>
        <c:dLbls>
          <c:showLegendKey val="0"/>
          <c:showVal val="0"/>
          <c:showCatName val="0"/>
          <c:showSerName val="0"/>
          <c:showPercent val="0"/>
          <c:showBubbleSize val="0"/>
        </c:dLbls>
        <c:gapWidth val="150"/>
        <c:axId val="1323207312"/>
        <c:axId val="1323213840"/>
      </c:barChart>
      <c:barChart>
        <c:barDir val="col"/>
        <c:grouping val="clustered"/>
        <c:varyColors val="0"/>
        <c:ser>
          <c:idx val="2"/>
          <c:order val="2"/>
          <c:tx>
            <c:strRef>
              <c:f>'[1]Current Time Series'!$C$27</c:f>
              <c:strCache>
                <c:ptCount val="1"/>
                <c:pt idx="0">
                  <c:v> YTD Actual </c:v>
                </c:pt>
              </c:strCache>
            </c:strRef>
          </c:tx>
          <c:spPr>
            <a:solidFill>
              <a:schemeClr val="tx1">
                <a:lumMod val="75000"/>
                <a:lumOff val="25000"/>
              </a:schemeClr>
            </a:solidFill>
            <a:effectLst/>
          </c:spPr>
          <c:invertIfNegative val="0"/>
          <c:dLbls>
            <c:spPr>
              <a:noFill/>
              <a:ln>
                <a:noFill/>
              </a:ln>
              <a:effectLst/>
            </c:sp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'[1]Current Time Series'!$C$27</c:f>
              <c:strCache>
                <c:ptCount val="1"/>
                <c:pt idx="0">
                  <c:v> YTD Actual </c:v>
                </c:pt>
              </c:strCache>
            </c:strRef>
          </c:cat>
          <c:val>
            <c:numRef>
              <c:f>'[1]Current Time Series'!$M$55:$Y$55</c:f>
              <c:numCache>
                <c:formatCode>General</c:formatCode>
                <c:ptCount val="13"/>
                <c:pt idx="12" formatCode="0.00">
                  <c:v>2.1000000000000005</c:v>
                </c:pt>
              </c:numCache>
            </c:numRef>
          </c:val>
          <c:extLst>
            <c:ext xmlns:c16="http://schemas.microsoft.com/office/drawing/2014/chart" uri="{C3380CC4-5D6E-409C-BE32-E72D297353CC}">
              <c16:uniqueId val="{00000002-CA3D-4B3C-8B9A-F62EF1BFA658}"/>
            </c:ext>
          </c:extLst>
        </c:ser>
        <c:dLbls>
          <c:showLegendKey val="0"/>
          <c:showVal val="0"/>
          <c:showCatName val="0"/>
          <c:showSerName val="0"/>
          <c:showPercent val="0"/>
          <c:showBubbleSize val="0"/>
        </c:dLbls>
        <c:gapWidth val="51"/>
        <c:overlap val="-96"/>
        <c:axId val="1323206224"/>
        <c:axId val="1323215472"/>
      </c:barChart>
      <c:lineChart>
        <c:grouping val="standard"/>
        <c:varyColors val="0"/>
        <c:ser>
          <c:idx val="0"/>
          <c:order val="0"/>
          <c:tx>
            <c:strRef>
              <c:f>'[1]Current Time Series'!$E$13:$E$14</c:f>
              <c:strCache>
                <c:ptCount val="2"/>
                <c:pt idx="0">
                  <c:v>ACTUAL</c:v>
                </c:pt>
                <c:pt idx="1">
                  <c:v>2.59</c:v>
                </c:pt>
              </c:strCache>
            </c:strRef>
          </c:tx>
          <c:spPr>
            <a:ln w="31750">
              <a:solidFill>
                <a:srgbClr val="00B0F0"/>
              </a:solidFill>
            </a:ln>
            <a:effectLst/>
          </c:spPr>
          <c:marker>
            <c:symbol val="none"/>
          </c:marker>
          <c:dLbls>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'[1]Current Time Series'!$C$14:$C$27</c:f>
              <c:strCache>
                <c:ptCount val="14"/>
                <c:pt idx="0">
                  <c:v> Ene </c:v>
                </c:pt>
                <c:pt idx="1">
                  <c:v> Feb </c:v>
                </c:pt>
                <c:pt idx="2">
                  <c:v> Mar </c:v>
                </c:pt>
                <c:pt idx="3">
                  <c:v> Abri </c:v>
                </c:pt>
                <c:pt idx="4">
                  <c:v> May </c:v>
                </c:pt>
                <c:pt idx="5">
                  <c:v> Jun </c:v>
                </c:pt>
                <c:pt idx="6">
                  <c:v> Jul </c:v>
                </c:pt>
                <c:pt idx="7">
                  <c:v> Ago </c:v>
                </c:pt>
                <c:pt idx="8">
                  <c:v> Sep </c:v>
                </c:pt>
                <c:pt idx="9">
                  <c:v> Oct </c:v>
                </c:pt>
                <c:pt idx="10">
                  <c:v> Nov </c:v>
                </c:pt>
                <c:pt idx="11">
                  <c:v> Dic </c:v>
                </c:pt>
                <c:pt idx="12">
                  <c:v> YTD Target </c:v>
                </c:pt>
                <c:pt idx="13">
                  <c:v> YTD Actual </c:v>
                </c:pt>
              </c:strCache>
            </c:strRef>
          </c:cat>
          <c:val>
            <c:numRef>
              <c:f>'[1]Current Time Series'!$D$14:$D$25</c:f>
              <c:numCache>
                <c:formatCode>0.00</c:formatCode>
                <c:ptCount val="12"/>
                <c:pt idx="0">
                  <c:v>2.1</c:v>
                </c:pt>
                <c:pt idx="1">
                  <c:v>2.1</c:v>
                </c:pt>
                <c:pt idx="2">
                  <c:v>2.1</c:v>
                </c:pt>
                <c:pt idx="3">
                  <c:v>2.1</c:v>
                </c:pt>
                <c:pt idx="4">
                  <c:v>2.1</c:v>
                </c:pt>
                <c:pt idx="5">
                  <c:v>2.1</c:v>
                </c:pt>
                <c:pt idx="6">
                  <c:v>2.1</c:v>
                </c:pt>
                <c:pt idx="7">
                  <c:v>2.1</c:v>
                </c:pt>
                <c:pt idx="8">
                  <c:v>2.1</c:v>
                </c:pt>
                <c:pt idx="9">
                  <c:v>2.1</c:v>
                </c:pt>
                <c:pt idx="10">
                  <c:v>2.1</c:v>
                </c:pt>
                <c:pt idx="11">
                  <c:v>2.1</c:v>
                </c:pt>
              </c:numCache>
            </c:numRef>
          </c:val>
          <c:smooth val="0"/>
          <c:extLst>
            <c:ext xmlns:c16="http://schemas.microsoft.com/office/drawing/2014/chart" uri="{C3380CC4-5D6E-409C-BE32-E72D297353CC}">
              <c16:uniqueId val="{00000003-CA3D-4B3C-8B9A-F62EF1BFA658}"/>
            </c:ext>
          </c:extLst>
        </c:ser>
        <c:dLbls>
          <c:showLegendKey val="0"/>
          <c:showVal val="0"/>
          <c:showCatName val="0"/>
          <c:showSerName val="0"/>
          <c:showPercent val="0"/>
          <c:showBubbleSize val="0"/>
        </c:dLbls>
        <c:marker val="1"/>
        <c:smooth val="0"/>
        <c:axId val="1323207312"/>
        <c:axId val="1323213840"/>
      </c:lineChart>
      <c:catAx>
        <c:axId val="1323207312"/>
        <c:scaling>
          <c:orientation val="minMax"/>
        </c:scaling>
        <c:delete val="0"/>
        <c:axPos val="b"/>
        <c:numFmt formatCode="dd/mmm" sourceLinked="0"/>
        <c:majorTickMark val="none"/>
        <c:minorTickMark val="none"/>
        <c:tickLblPos val="low"/>
        <c:spPr>
          <a:ln>
            <a:noFill/>
          </a:ln>
        </c:spPr>
        <c:txPr>
          <a:bodyPr rot="-5400000" vert="horz"/>
          <a:lstStyle/>
          <a:p>
            <a:pPr>
              <a:defRPr/>
            </a:pPr>
            <a:endParaRPr lang="es-MX"/>
          </a:p>
        </c:txPr>
        <c:crossAx val="1323213840"/>
        <c:crosses val="autoZero"/>
        <c:auto val="0"/>
        <c:lblAlgn val="ctr"/>
        <c:lblOffset val="100"/>
        <c:tickLblSkip val="1"/>
        <c:noMultiLvlLbl val="0"/>
      </c:catAx>
      <c:valAx>
        <c:axId val="1323213840"/>
        <c:scaling>
          <c:orientation val="minMax"/>
          <c:max val="2.7"/>
          <c:min val="1.8"/>
        </c:scaling>
        <c:delete val="0"/>
        <c:axPos val="l"/>
        <c:majorGridlines>
          <c:spPr>
            <a:ln>
              <a:solidFill>
                <a:schemeClr val="bg1">
                  <a:lumMod val="95000"/>
                </a:schemeClr>
              </a:solidFill>
            </a:ln>
          </c:spPr>
        </c:majorGridlines>
        <c:numFmt formatCode="General" sourceLinked="0"/>
        <c:majorTickMark val="none"/>
        <c:minorTickMark val="none"/>
        <c:tickLblPos val="nextTo"/>
        <c:spPr>
          <a:ln>
            <a:noFill/>
          </a:ln>
        </c:spPr>
        <c:crossAx val="1323207312"/>
        <c:crosses val="autoZero"/>
        <c:crossBetween val="between"/>
      </c:valAx>
      <c:valAx>
        <c:axId val="1323215472"/>
        <c:scaling>
          <c:orientation val="minMax"/>
        </c:scaling>
        <c:delete val="1"/>
        <c:axPos val="r"/>
        <c:numFmt formatCode="General" sourceLinked="1"/>
        <c:majorTickMark val="out"/>
        <c:minorTickMark val="none"/>
        <c:tickLblPos val="nextTo"/>
        <c:crossAx val="1323206224"/>
        <c:crosses val="max"/>
        <c:crossBetween val="between"/>
      </c:valAx>
      <c:catAx>
        <c:axId val="1323206224"/>
        <c:scaling>
          <c:orientation val="minMax"/>
        </c:scaling>
        <c:delete val="1"/>
        <c:axPos val="b"/>
        <c:numFmt formatCode="General" sourceLinked="1"/>
        <c:majorTickMark val="out"/>
        <c:minorTickMark val="none"/>
        <c:tickLblPos val="nextTo"/>
        <c:crossAx val="1323215472"/>
        <c:crosses val="autoZero"/>
        <c:auto val="1"/>
        <c:lblAlgn val="ctr"/>
        <c:lblOffset val="100"/>
        <c:noMultiLvlLbl val="0"/>
      </c:catAx>
      <c:spPr>
        <a:ln>
          <a:noFill/>
        </a:ln>
      </c:spPr>
    </c:plotArea>
    <c:legend>
      <c:legendPos val="b"/>
      <c:layout>
        <c:manualLayout>
          <c:xMode val="edge"/>
          <c:yMode val="edge"/>
          <c:x val="0.22262765920693967"/>
          <c:y val="0.92441055084737656"/>
          <c:w val="0.59744659636208031"/>
          <c:h val="4.5681762304375456E-2"/>
        </c:manualLayout>
      </c:layout>
      <c:overlay val="1"/>
    </c:legend>
    <c:plotVisOnly val="1"/>
    <c:dispBlanksAs val="gap"/>
    <c:showDLblsOverMax val="0"/>
  </c:chart>
  <c:spPr>
    <a:ln w="19050" cap="rnd">
      <a:solidFill>
        <a:schemeClr val="bg1">
          <a:lumMod val="85000"/>
        </a:schemeClr>
      </a:solidFill>
    </a:ln>
  </c:spPr>
  <c:txPr>
    <a:bodyPr/>
    <a:lstStyle/>
    <a:p>
      <a:pPr>
        <a:defRPr sz="900"/>
      </a:pPr>
      <a:endParaRPr lang="es-MX"/>
    </a:p>
  </c:txPr>
  <c:printSettings>
    <c:headerFooter/>
    <c:pageMargins b="0.78740157499999996" l="0.511811024" r="0.511811024" t="0.78740157499999996" header="0.31496062000002661" footer="0.3149606200000266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PARETO TEL  </a:t>
            </a:r>
          </a:p>
        </c:rich>
      </c:tx>
      <c:overlay val="0"/>
    </c:title>
    <c:autoTitleDeleted val="0"/>
    <c:plotArea>
      <c:layout/>
      <c:barChart>
        <c:barDir val="col"/>
        <c:grouping val="clustered"/>
        <c:varyColors val="0"/>
        <c:ser>
          <c:idx val="0"/>
          <c:order val="0"/>
          <c:tx>
            <c:strRef>
              <c:f>[1]Pareto!$E$13</c:f>
              <c:strCache>
                <c:ptCount val="1"/>
                <c:pt idx="0">
                  <c:v>GAP</c:v>
                </c:pt>
              </c:strCache>
            </c:strRef>
          </c:tx>
          <c:invertIfNegative val="0"/>
          <c:dLbls>
            <c:dLbl>
              <c:idx val="1"/>
              <c:layout>
                <c:manualLayout>
                  <c:x val="1.7041897796473669E-2"/>
                  <c:y val="-6.10169458952651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8D-46AD-B71B-014CC348E24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[1]Pareto!$D$14:$D$16</c:f>
              <c:strCache>
                <c:ptCount val="3"/>
                <c:pt idx="0">
                  <c:v>WBEL</c:v>
                </c:pt>
                <c:pt idx="1">
                  <c:v>CBEL</c:v>
                </c:pt>
                <c:pt idx="2">
                  <c:v>PEL</c:v>
                </c:pt>
              </c:strCache>
            </c:strRef>
          </c:cat>
          <c:val>
            <c:numRef>
              <c:f>[1]Pareto!$E$14:$E$16</c:f>
              <c:numCache>
                <c:formatCode>0.00</c:formatCode>
                <c:ptCount val="3"/>
                <c:pt idx="0">
                  <c:v>7.0000000000000007E-2</c:v>
                </c:pt>
                <c:pt idx="1">
                  <c:v>2.1</c:v>
                </c:pt>
                <c:pt idx="2">
                  <c:v>0.65</c:v>
                </c:pt>
              </c:numCache>
            </c:numRef>
          </c:val>
          <c:extLst>
            <c:ext xmlns:c16="http://schemas.microsoft.com/office/drawing/2014/chart" uri="{C3380CC4-5D6E-409C-BE32-E72D297353CC}">
              <c16:uniqueId val="{00000001-7C8D-46AD-B71B-014CC348E242}"/>
            </c:ext>
          </c:extLst>
        </c:ser>
        <c:dLbls>
          <c:showLegendKey val="0"/>
          <c:showVal val="0"/>
          <c:showCatName val="0"/>
          <c:showSerName val="0"/>
          <c:showPercent val="0"/>
          <c:showBubbleSize val="0"/>
        </c:dLbls>
        <c:gapWidth val="45"/>
        <c:axId val="392603376"/>
        <c:axId val="392603936"/>
      </c:barChart>
      <c:lineChart>
        <c:grouping val="standard"/>
        <c:varyColors val="0"/>
        <c:ser>
          <c:idx val="1"/>
          <c:order val="1"/>
          <c:tx>
            <c:strRef>
              <c:f>[1]Pareto!$H$13</c:f>
              <c:strCache>
                <c:ptCount val="1"/>
                <c:pt idx="0">
                  <c:v>% ACUMULADO</c:v>
                </c:pt>
              </c:strCache>
            </c:strRef>
          </c:tx>
          <c:marker>
            <c:symbol val="diamond"/>
            <c:size val="5"/>
          </c:marker>
          <c:dLbls>
            <c:dLbl>
              <c:idx val="0"/>
              <c:layout>
                <c:manualLayout>
                  <c:x val="-2.4217274803733001E-2"/>
                  <c:y val="-0.11121851801849642"/>
                </c:manualLayout>
              </c:layout>
              <c:dLblPos val="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7C8D-46AD-B71B-014CC348E242}"/>
                </c:ext>
              </c:extLst>
            </c:dLbl>
            <c:spPr>
              <a:noFill/>
              <a:ln>
                <a:noFill/>
              </a:ln>
              <a:effectLst/>
            </c:spPr>
            <c:dLblPos val="b"/>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[1]Pareto!$C$14:$C$16</c:f>
              <c:strCache>
                <c:ptCount val="3"/>
                <c:pt idx="0">
                  <c:v>Cocimientos</c:v>
                </c:pt>
                <c:pt idx="1">
                  <c:v>Cuartos frios</c:v>
                </c:pt>
                <c:pt idx="2">
                  <c:v>Envasado</c:v>
                </c:pt>
              </c:strCache>
            </c:strRef>
          </c:cat>
          <c:val>
            <c:numRef>
              <c:f>[1]Pareto!$H$14:$H$16</c:f>
              <c:numCache>
                <c:formatCode>0%</c:formatCode>
                <c:ptCount val="3"/>
                <c:pt idx="0">
                  <c:v>2.4799999999999999E-2</c:v>
                </c:pt>
                <c:pt idx="1">
                  <c:v>0.76950000000000007</c:v>
                </c:pt>
                <c:pt idx="2">
                  <c:v>1</c:v>
                </c:pt>
              </c:numCache>
            </c:numRef>
          </c:val>
          <c:smooth val="0"/>
          <c:extLst>
            <c:ext xmlns:c16="http://schemas.microsoft.com/office/drawing/2014/chart" uri="{C3380CC4-5D6E-409C-BE32-E72D297353CC}">
              <c16:uniqueId val="{00000003-7C8D-46AD-B71B-014CC348E242}"/>
            </c:ext>
          </c:extLst>
        </c:ser>
        <c:dLbls>
          <c:showLegendKey val="0"/>
          <c:showVal val="0"/>
          <c:showCatName val="0"/>
          <c:showSerName val="0"/>
          <c:showPercent val="0"/>
          <c:showBubbleSize val="0"/>
        </c:dLbls>
        <c:marker val="1"/>
        <c:smooth val="0"/>
        <c:axId val="392605056"/>
        <c:axId val="392604496"/>
      </c:lineChart>
      <c:catAx>
        <c:axId val="392603376"/>
        <c:scaling>
          <c:orientation val="minMax"/>
        </c:scaling>
        <c:delete val="0"/>
        <c:axPos val="b"/>
        <c:title>
          <c:tx>
            <c:rich>
              <a:bodyPr/>
              <a:lstStyle/>
              <a:p>
                <a:pPr>
                  <a:defRPr/>
                </a:pPr>
                <a:r>
                  <a:rPr lang="en-US"/>
                  <a:t>Área</a:t>
                </a:r>
              </a:p>
            </c:rich>
          </c:tx>
          <c:overlay val="0"/>
        </c:title>
        <c:numFmt formatCode="General" sourceLinked="1"/>
        <c:majorTickMark val="out"/>
        <c:minorTickMark val="none"/>
        <c:tickLblPos val="nextTo"/>
        <c:crossAx val="392603936"/>
        <c:crosses val="autoZero"/>
        <c:auto val="1"/>
        <c:lblAlgn val="ctr"/>
        <c:lblOffset val="100"/>
        <c:noMultiLvlLbl val="0"/>
      </c:catAx>
      <c:valAx>
        <c:axId val="392603936"/>
        <c:scaling>
          <c:orientation val="minMax"/>
          <c:max val="2.5"/>
        </c:scaling>
        <c:delete val="0"/>
        <c:axPos val="l"/>
        <c:majorGridlines>
          <c:spPr>
            <a:ln>
              <a:solidFill>
                <a:schemeClr val="bg1">
                  <a:lumMod val="85000"/>
                </a:schemeClr>
              </a:solidFill>
            </a:ln>
          </c:spPr>
        </c:majorGridlines>
        <c:title>
          <c:tx>
            <c:rich>
              <a:bodyPr/>
              <a:lstStyle/>
              <a:p>
                <a:pPr>
                  <a:defRPr/>
                </a:pPr>
                <a:r>
                  <a:rPr lang="en-US"/>
                  <a:t>GAP</a:t>
                </a:r>
              </a:p>
            </c:rich>
          </c:tx>
          <c:overlay val="0"/>
        </c:title>
        <c:numFmt formatCode="0.00" sourceLinked="1"/>
        <c:majorTickMark val="out"/>
        <c:minorTickMark val="none"/>
        <c:tickLblPos val="nextTo"/>
        <c:spPr>
          <a:ln w="9525"/>
        </c:spPr>
        <c:crossAx val="392603376"/>
        <c:crosses val="autoZero"/>
        <c:crossBetween val="between"/>
      </c:valAx>
      <c:valAx>
        <c:axId val="392604496"/>
        <c:scaling>
          <c:orientation val="minMax"/>
          <c:max val="1"/>
          <c:min val="0"/>
        </c:scaling>
        <c:delete val="0"/>
        <c:axPos val="r"/>
        <c:title>
          <c:tx>
            <c:rich>
              <a:bodyPr/>
              <a:lstStyle/>
              <a:p>
                <a:pPr>
                  <a:defRPr/>
                </a:pPr>
                <a:r>
                  <a:rPr lang="en-US"/>
                  <a:t>T% Acumulado</a:t>
                </a:r>
              </a:p>
            </c:rich>
          </c:tx>
          <c:overlay val="0"/>
        </c:title>
        <c:numFmt formatCode="0%" sourceLinked="1"/>
        <c:majorTickMark val="out"/>
        <c:minorTickMark val="none"/>
        <c:tickLblPos val="nextTo"/>
        <c:crossAx val="392605056"/>
        <c:crosses val="max"/>
        <c:crossBetween val="between"/>
      </c:valAx>
      <c:catAx>
        <c:axId val="392605056"/>
        <c:scaling>
          <c:orientation val="minMax"/>
        </c:scaling>
        <c:delete val="1"/>
        <c:axPos val="b"/>
        <c:numFmt formatCode="General" sourceLinked="1"/>
        <c:majorTickMark val="out"/>
        <c:minorTickMark val="none"/>
        <c:tickLblPos val="nextTo"/>
        <c:crossAx val="392604496"/>
        <c:crosses val="autoZero"/>
        <c:auto val="1"/>
        <c:lblAlgn val="ctr"/>
        <c:lblOffset val="100"/>
        <c:noMultiLvlLbl val="0"/>
      </c:catAx>
      <c:spPr>
        <a:noFill/>
        <a:ln w="25400">
          <a:noFill/>
        </a:ln>
      </c:spPr>
    </c:plotArea>
    <c:legend>
      <c:legendPos val="b"/>
      <c:overlay val="0"/>
    </c:legend>
    <c:plotVisOnly val="1"/>
    <c:dispBlanksAs val="gap"/>
    <c:showDLblsOverMax val="0"/>
  </c:chart>
  <c:spPr>
    <a:ln>
      <a:solidFill>
        <a:schemeClr val="bg1">
          <a:lumMod val="85000"/>
        </a:schemeClr>
      </a:solidFill>
    </a:ln>
  </c:spPr>
  <c:txPr>
    <a:bodyPr/>
    <a:lstStyle/>
    <a:p>
      <a:pPr>
        <a:defRPr sz="900"/>
      </a:pPr>
      <a:endParaRPr lang="es-MX"/>
    </a:p>
  </c:txPr>
  <c:printSettings>
    <c:headerFooter/>
    <c:pageMargins b="0.78740157499999996" l="0.511811024" r="0.511811024" t="0.78740157499999996" header="0.31496062000002389" footer="0.31496062000002389"/>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348789</xdr:colOff>
      <xdr:row>115</xdr:row>
      <xdr:rowOff>9425</xdr:rowOff>
    </xdr:from>
    <xdr:to>
      <xdr:col>12</xdr:col>
      <xdr:colOff>150827</xdr:colOff>
      <xdr:row>132</xdr:row>
      <xdr:rowOff>91868</xdr:rowOff>
    </xdr:to>
    <xdr:graphicFrame macro="">
      <xdr:nvGraphicFramePr>
        <xdr:cNvPr id="2" name="Gráfico 1">
          <a:extLst>
            <a:ext uri="{FF2B5EF4-FFF2-40B4-BE49-F238E27FC236}">
              <a16:creationId xmlns:a16="http://schemas.microsoft.com/office/drawing/2014/main" id="{09F39045-A131-4DC9-A7C3-E0FC07400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395925</xdr:colOff>
      <xdr:row>151</xdr:row>
      <xdr:rowOff>56560</xdr:rowOff>
    </xdr:from>
    <xdr:to>
      <xdr:col>17</xdr:col>
      <xdr:colOff>146211</xdr:colOff>
      <xdr:row>167</xdr:row>
      <xdr:rowOff>37706</xdr:rowOff>
    </xdr:to>
    <xdr:graphicFrame macro="">
      <xdr:nvGraphicFramePr>
        <xdr:cNvPr id="3" name="Gráfico 10">
          <a:extLst>
            <a:ext uri="{FF2B5EF4-FFF2-40B4-BE49-F238E27FC236}">
              <a16:creationId xmlns:a16="http://schemas.microsoft.com/office/drawing/2014/main" id="{A1DA9E3B-A9B4-4108-BCDD-61169F077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800519" y="53110614"/>
    <xdr:ext cx="2743200" cy="1894724"/>
    <xdr:sp macro="" textlink="">
      <xdr:nvSpPr>
        <xdr:cNvPr id="11" name="Rounded Rectangle 35">
          <a:extLst>
            <a:ext uri="{FF2B5EF4-FFF2-40B4-BE49-F238E27FC236}">
              <a16:creationId xmlns:a16="http://schemas.microsoft.com/office/drawing/2014/main" id="{54FC3FD2-8ACF-465F-9685-DAD101F27CAC}"/>
            </a:ext>
          </a:extLst>
        </xdr:cNvPr>
        <xdr:cNvSpPr>
          <a:spLocks noChangeAspect="1"/>
        </xdr:cNvSpPr>
      </xdr:nvSpPr>
      <xdr:spPr>
        <a:xfrm>
          <a:off x="1800519" y="53110614"/>
          <a:ext cx="2743200" cy="1894724"/>
        </a:xfrm>
        <a:prstGeom prst="roundRect">
          <a:avLst>
            <a:gd name="adj" fmla="val 0"/>
          </a:avLst>
        </a:prstGeom>
        <a:solidFill>
          <a:schemeClr val="bg1">
            <a:lumMod val="95000"/>
          </a:schemeClr>
        </a:solidFill>
        <a:ln>
          <a:solidFill>
            <a:sysClr val="windowText" lastClr="000000"/>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b"/>
        <a:lstStyle/>
        <a:p>
          <a:pPr algn="l"/>
          <a:endParaRPr lang="en-US" sz="1800" b="0" u="none" baseline="0">
            <a:solidFill>
              <a:srgbClr val="C00000"/>
            </a:solidFill>
          </a:endParaRPr>
        </a:p>
      </xdr:txBody>
    </xdr:sp>
    <xdr:clientData/>
  </xdr:absoluteAnchor>
  <xdr:absoluteAnchor>
    <xdr:pos x="7986075" y="56298446"/>
    <xdr:ext cx="2743200" cy="1894724"/>
    <xdr:sp macro="" textlink="">
      <xdr:nvSpPr>
        <xdr:cNvPr id="13" name="Rounded Rectangle 35">
          <a:extLst>
            <a:ext uri="{FF2B5EF4-FFF2-40B4-BE49-F238E27FC236}">
              <a16:creationId xmlns:a16="http://schemas.microsoft.com/office/drawing/2014/main" id="{239DAA83-0724-4C54-91AB-728B82764040}"/>
            </a:ext>
          </a:extLst>
        </xdr:cNvPr>
        <xdr:cNvSpPr>
          <a:spLocks noChangeAspect="1"/>
        </xdr:cNvSpPr>
      </xdr:nvSpPr>
      <xdr:spPr>
        <a:xfrm>
          <a:off x="7986075" y="56298446"/>
          <a:ext cx="2743200" cy="1894724"/>
        </a:xfrm>
        <a:prstGeom prst="roundRect">
          <a:avLst>
            <a:gd name="adj" fmla="val 0"/>
          </a:avLst>
        </a:prstGeom>
        <a:solidFill>
          <a:schemeClr val="bg1">
            <a:lumMod val="95000"/>
          </a:schemeClr>
        </a:solidFill>
        <a:ln>
          <a:solidFill>
            <a:sysClr val="windowText" lastClr="000000"/>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b"/>
        <a:lstStyle/>
        <a:p>
          <a:pPr algn="l"/>
          <a:br>
            <a:rPr lang="en-US" sz="1800" b="0" u="none" baseline="0">
              <a:solidFill>
                <a:sysClr val="windowText" lastClr="000000"/>
              </a:solidFill>
            </a:rPr>
          </a:br>
          <a:endParaRPr lang="en-US" sz="1800" b="0" u="none" baseline="0">
            <a:solidFill>
              <a:srgbClr val="C00000"/>
            </a:solidFill>
          </a:endParaRPr>
        </a:p>
      </xdr:txBody>
    </xdr:sp>
    <xdr:clientData/>
  </xdr:absoluteAnchor>
  <xdr:absoluteAnchor>
    <xdr:pos x="4782532" y="56300017"/>
    <xdr:ext cx="2743200" cy="1894724"/>
    <xdr:sp macro="" textlink="">
      <xdr:nvSpPr>
        <xdr:cNvPr id="14" name="Rounded Rectangle 35">
          <a:extLst>
            <a:ext uri="{FF2B5EF4-FFF2-40B4-BE49-F238E27FC236}">
              <a16:creationId xmlns:a16="http://schemas.microsoft.com/office/drawing/2014/main" id="{74099F9F-CA82-4642-B06D-3E63C26981B4}"/>
            </a:ext>
          </a:extLst>
        </xdr:cNvPr>
        <xdr:cNvSpPr>
          <a:spLocks noChangeAspect="1"/>
        </xdr:cNvSpPr>
      </xdr:nvSpPr>
      <xdr:spPr>
        <a:xfrm>
          <a:off x="4782532" y="56300017"/>
          <a:ext cx="2743200" cy="1894724"/>
        </a:xfrm>
        <a:prstGeom prst="roundRect">
          <a:avLst>
            <a:gd name="adj" fmla="val 0"/>
          </a:avLst>
        </a:prstGeom>
        <a:solidFill>
          <a:schemeClr val="bg1">
            <a:lumMod val="95000"/>
          </a:schemeClr>
        </a:solidFill>
        <a:ln>
          <a:solidFill>
            <a:sysClr val="windowText" lastClr="000000"/>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b"/>
        <a:lstStyle/>
        <a:p>
          <a:pPr algn="l"/>
          <a:br>
            <a:rPr lang="en-US" sz="1800" b="0" u="none" baseline="0">
              <a:solidFill>
                <a:sysClr val="windowText" lastClr="000000"/>
              </a:solidFill>
            </a:rPr>
          </a:br>
          <a:endParaRPr lang="en-US" sz="1800" b="0" u="none" baseline="0">
            <a:solidFill>
              <a:srgbClr val="C00000"/>
            </a:solidFill>
          </a:endParaRPr>
        </a:p>
      </xdr:txBody>
    </xdr:sp>
    <xdr:clientData/>
  </xdr:absoluteAnchor>
  <xdr:absoluteAnchor>
    <xdr:pos x="1786380" y="56292161"/>
    <xdr:ext cx="2743200" cy="1894724"/>
    <xdr:sp macro="" textlink="">
      <xdr:nvSpPr>
        <xdr:cNvPr id="15" name="Rounded Rectangle 35">
          <a:extLst>
            <a:ext uri="{FF2B5EF4-FFF2-40B4-BE49-F238E27FC236}">
              <a16:creationId xmlns:a16="http://schemas.microsoft.com/office/drawing/2014/main" id="{763FC1B5-75D8-4938-8A44-C50E6B6C2135}"/>
            </a:ext>
          </a:extLst>
        </xdr:cNvPr>
        <xdr:cNvSpPr>
          <a:spLocks noChangeAspect="1"/>
        </xdr:cNvSpPr>
      </xdr:nvSpPr>
      <xdr:spPr>
        <a:xfrm>
          <a:off x="1786380" y="56292161"/>
          <a:ext cx="2743200" cy="1894724"/>
        </a:xfrm>
        <a:prstGeom prst="roundRect">
          <a:avLst>
            <a:gd name="adj" fmla="val 0"/>
          </a:avLst>
        </a:prstGeom>
        <a:solidFill>
          <a:schemeClr val="bg1">
            <a:lumMod val="95000"/>
          </a:schemeClr>
        </a:solidFill>
        <a:ln>
          <a:solidFill>
            <a:sysClr val="windowText" lastClr="000000"/>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b"/>
        <a:lstStyle/>
        <a:p>
          <a:pPr algn="l"/>
          <a:br>
            <a:rPr lang="en-US" sz="1800" b="0" u="none" baseline="0">
              <a:solidFill>
                <a:sysClr val="windowText" lastClr="000000"/>
              </a:solidFill>
            </a:rPr>
          </a:br>
          <a:endParaRPr lang="en-US" sz="1800" b="0" u="none" baseline="0">
            <a:solidFill>
              <a:srgbClr val="C00000"/>
            </a:solidFill>
          </a:endParaRPr>
        </a:p>
      </xdr:txBody>
    </xdr:sp>
    <xdr:clientData/>
  </xdr:absoluteAnchor>
  <xdr:absoluteAnchor>
    <xdr:pos x="7971934" y="53126326"/>
    <xdr:ext cx="2743200" cy="1894724"/>
    <xdr:sp macro="" textlink="">
      <xdr:nvSpPr>
        <xdr:cNvPr id="16" name="Rounded Rectangle 35">
          <a:extLst>
            <a:ext uri="{FF2B5EF4-FFF2-40B4-BE49-F238E27FC236}">
              <a16:creationId xmlns:a16="http://schemas.microsoft.com/office/drawing/2014/main" id="{2EB9F49E-0444-4F21-B6F1-EE2100316F69}"/>
            </a:ext>
          </a:extLst>
        </xdr:cNvPr>
        <xdr:cNvSpPr>
          <a:spLocks noChangeAspect="1"/>
        </xdr:cNvSpPr>
      </xdr:nvSpPr>
      <xdr:spPr>
        <a:xfrm>
          <a:off x="7971934" y="53126326"/>
          <a:ext cx="2743200" cy="1894724"/>
        </a:xfrm>
        <a:prstGeom prst="roundRect">
          <a:avLst>
            <a:gd name="adj" fmla="val 0"/>
          </a:avLst>
        </a:prstGeom>
        <a:solidFill>
          <a:schemeClr val="bg1">
            <a:lumMod val="95000"/>
          </a:schemeClr>
        </a:solidFill>
        <a:ln>
          <a:solidFill>
            <a:sysClr val="windowText" lastClr="000000"/>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b"/>
        <a:lstStyle/>
        <a:p>
          <a:pPr algn="l"/>
          <a:br>
            <a:rPr lang="en-US" sz="1800" b="0" u="none" baseline="0">
              <a:solidFill>
                <a:sysClr val="windowText" lastClr="000000"/>
              </a:solidFill>
            </a:rPr>
          </a:br>
          <a:endParaRPr lang="en-US" sz="1800" b="0" u="none" baseline="0">
            <a:solidFill>
              <a:srgbClr val="C00000"/>
            </a:solidFill>
          </a:endParaRPr>
        </a:p>
      </xdr:txBody>
    </xdr:sp>
    <xdr:clientData/>
  </xdr:absoluteAnchor>
  <xdr:absoluteAnchor>
    <xdr:pos x="4834379" y="53127897"/>
    <xdr:ext cx="2743200" cy="1894724"/>
    <xdr:sp macro="" textlink="">
      <xdr:nvSpPr>
        <xdr:cNvPr id="17" name="Rounded Rectangle 35">
          <a:extLst>
            <a:ext uri="{FF2B5EF4-FFF2-40B4-BE49-F238E27FC236}">
              <a16:creationId xmlns:a16="http://schemas.microsoft.com/office/drawing/2014/main" id="{1B596909-6190-428C-AAEA-43DC9FACEEC9}"/>
            </a:ext>
          </a:extLst>
        </xdr:cNvPr>
        <xdr:cNvSpPr>
          <a:spLocks noChangeAspect="1"/>
        </xdr:cNvSpPr>
      </xdr:nvSpPr>
      <xdr:spPr>
        <a:xfrm>
          <a:off x="4834379" y="53127897"/>
          <a:ext cx="2743200" cy="1894724"/>
        </a:xfrm>
        <a:prstGeom prst="roundRect">
          <a:avLst>
            <a:gd name="adj" fmla="val 0"/>
          </a:avLst>
        </a:prstGeom>
        <a:solidFill>
          <a:schemeClr val="bg1">
            <a:lumMod val="95000"/>
          </a:schemeClr>
        </a:solidFill>
        <a:ln>
          <a:solidFill>
            <a:sysClr val="windowText" lastClr="000000"/>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b"/>
        <a:lstStyle/>
        <a:p>
          <a:pPr algn="l"/>
          <a:br>
            <a:rPr lang="en-US" sz="1800" b="0" u="none" baseline="0">
              <a:solidFill>
                <a:sysClr val="windowText" lastClr="000000"/>
              </a:solidFill>
            </a:rPr>
          </a:br>
          <a:endParaRPr lang="en-US" sz="1800" b="0" u="none" baseline="0">
            <a:solidFill>
              <a:srgbClr val="C00000"/>
            </a:solidFill>
          </a:endParaRPr>
        </a:p>
      </xdr:txBody>
    </xdr:sp>
    <xdr:clientData/>
  </xdr:absoluteAnchor>
  <xdr:twoCellAnchor>
    <xdr:from>
      <xdr:col>1</xdr:col>
      <xdr:colOff>716437</xdr:colOff>
      <xdr:row>200</xdr:row>
      <xdr:rowOff>9427</xdr:rowOff>
    </xdr:from>
    <xdr:to>
      <xdr:col>11</xdr:col>
      <xdr:colOff>414779</xdr:colOff>
      <xdr:row>200</xdr:row>
      <xdr:rowOff>9427</xdr:rowOff>
    </xdr:to>
    <xdr:cxnSp macro="">
      <xdr:nvCxnSpPr>
        <xdr:cNvPr id="18" name="Straight Connector 2">
          <a:extLst>
            <a:ext uri="{FF2B5EF4-FFF2-40B4-BE49-F238E27FC236}">
              <a16:creationId xmlns:a16="http://schemas.microsoft.com/office/drawing/2014/main" id="{2B933456-8302-4904-9269-4348604390A9}"/>
            </a:ext>
          </a:extLst>
        </xdr:cNvPr>
        <xdr:cNvCxnSpPr/>
      </xdr:nvCxnSpPr>
      <xdr:spPr>
        <a:xfrm flipH="1">
          <a:off x="1395167" y="55589864"/>
          <a:ext cx="9530499" cy="0"/>
        </a:xfrm>
        <a:prstGeom prst="line">
          <a:avLst/>
        </a:prstGeom>
        <a:ln w="3810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358218</xdr:colOff>
      <xdr:row>200</xdr:row>
      <xdr:rowOff>9427</xdr:rowOff>
    </xdr:from>
    <xdr:to>
      <xdr:col>2</xdr:col>
      <xdr:colOff>867266</xdr:colOff>
      <xdr:row>204</xdr:row>
      <xdr:rowOff>103695</xdr:rowOff>
    </xdr:to>
    <xdr:cxnSp macro="">
      <xdr:nvCxnSpPr>
        <xdr:cNvPr id="22" name="Straight Connector 2">
          <a:extLst>
            <a:ext uri="{FF2B5EF4-FFF2-40B4-BE49-F238E27FC236}">
              <a16:creationId xmlns:a16="http://schemas.microsoft.com/office/drawing/2014/main" id="{F61967AF-95A6-47E7-8A7D-A896BCED2EDE}"/>
            </a:ext>
          </a:extLst>
        </xdr:cNvPr>
        <xdr:cNvCxnSpPr/>
      </xdr:nvCxnSpPr>
      <xdr:spPr>
        <a:xfrm flipV="1">
          <a:off x="2865748" y="55589864"/>
          <a:ext cx="509048" cy="659876"/>
        </a:xfrm>
        <a:prstGeom prst="line">
          <a:avLst/>
        </a:prstGeom>
        <a:ln w="3810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142973</xdr:colOff>
      <xdr:row>200</xdr:row>
      <xdr:rowOff>1572</xdr:rowOff>
    </xdr:from>
    <xdr:to>
      <xdr:col>9</xdr:col>
      <xdr:colOff>652021</xdr:colOff>
      <xdr:row>204</xdr:row>
      <xdr:rowOff>95840</xdr:rowOff>
    </xdr:to>
    <xdr:cxnSp macro="">
      <xdr:nvCxnSpPr>
        <xdr:cNvPr id="25" name="Straight Connector 2">
          <a:extLst>
            <a:ext uri="{FF2B5EF4-FFF2-40B4-BE49-F238E27FC236}">
              <a16:creationId xmlns:a16="http://schemas.microsoft.com/office/drawing/2014/main" id="{92088657-0E7F-4F7D-830E-ABEB45873E5F}"/>
            </a:ext>
          </a:extLst>
        </xdr:cNvPr>
        <xdr:cNvCxnSpPr/>
      </xdr:nvCxnSpPr>
      <xdr:spPr>
        <a:xfrm flipV="1">
          <a:off x="9296400" y="55582009"/>
          <a:ext cx="509048" cy="659876"/>
        </a:xfrm>
        <a:prstGeom prst="line">
          <a:avLst/>
        </a:prstGeom>
        <a:ln w="3810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992956</xdr:colOff>
      <xdr:row>200</xdr:row>
      <xdr:rowOff>12569</xdr:rowOff>
    </xdr:from>
    <xdr:to>
      <xdr:col>5</xdr:col>
      <xdr:colOff>483909</xdr:colOff>
      <xdr:row>204</xdr:row>
      <xdr:rowOff>106837</xdr:rowOff>
    </xdr:to>
    <xdr:cxnSp macro="">
      <xdr:nvCxnSpPr>
        <xdr:cNvPr id="26" name="Straight Connector 2">
          <a:extLst>
            <a:ext uri="{FF2B5EF4-FFF2-40B4-BE49-F238E27FC236}">
              <a16:creationId xmlns:a16="http://schemas.microsoft.com/office/drawing/2014/main" id="{70FB7EAD-F6AA-4AA1-B95F-618C771CB9CB}"/>
            </a:ext>
          </a:extLst>
        </xdr:cNvPr>
        <xdr:cNvCxnSpPr/>
      </xdr:nvCxnSpPr>
      <xdr:spPr>
        <a:xfrm flipV="1">
          <a:off x="5960882" y="55593006"/>
          <a:ext cx="509048" cy="659876"/>
        </a:xfrm>
        <a:prstGeom prst="line">
          <a:avLst/>
        </a:prstGeom>
        <a:ln w="3810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131975</xdr:colOff>
      <xdr:row>197</xdr:row>
      <xdr:rowOff>9427</xdr:rowOff>
    </xdr:from>
    <xdr:to>
      <xdr:col>9</xdr:col>
      <xdr:colOff>644166</xdr:colOff>
      <xdr:row>200</xdr:row>
      <xdr:rowOff>3143</xdr:rowOff>
    </xdr:to>
    <xdr:cxnSp macro="">
      <xdr:nvCxnSpPr>
        <xdr:cNvPr id="27" name="Straight Connector 2">
          <a:extLst>
            <a:ext uri="{FF2B5EF4-FFF2-40B4-BE49-F238E27FC236}">
              <a16:creationId xmlns:a16="http://schemas.microsoft.com/office/drawing/2014/main" id="{EFC413DA-AC66-4536-AF55-A161E134D715}"/>
            </a:ext>
          </a:extLst>
        </xdr:cNvPr>
        <xdr:cNvCxnSpPr/>
      </xdr:nvCxnSpPr>
      <xdr:spPr>
        <a:xfrm>
          <a:off x="9285402" y="55165658"/>
          <a:ext cx="512191" cy="417922"/>
        </a:xfrm>
        <a:prstGeom prst="line">
          <a:avLst/>
        </a:prstGeom>
        <a:ln w="3810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1010239</xdr:colOff>
      <xdr:row>197</xdr:row>
      <xdr:rowOff>20425</xdr:rowOff>
    </xdr:from>
    <xdr:to>
      <xdr:col>5</xdr:col>
      <xdr:colOff>504335</xdr:colOff>
      <xdr:row>200</xdr:row>
      <xdr:rowOff>14141</xdr:rowOff>
    </xdr:to>
    <xdr:cxnSp macro="">
      <xdr:nvCxnSpPr>
        <xdr:cNvPr id="29" name="Straight Connector 2">
          <a:extLst>
            <a:ext uri="{FF2B5EF4-FFF2-40B4-BE49-F238E27FC236}">
              <a16:creationId xmlns:a16="http://schemas.microsoft.com/office/drawing/2014/main" id="{102A6AA4-8A27-455B-9180-C9CAAE01D552}"/>
            </a:ext>
          </a:extLst>
        </xdr:cNvPr>
        <xdr:cNvCxnSpPr/>
      </xdr:nvCxnSpPr>
      <xdr:spPr>
        <a:xfrm>
          <a:off x="5978165" y="55176656"/>
          <a:ext cx="512191" cy="417922"/>
        </a:xfrm>
        <a:prstGeom prst="line">
          <a:avLst/>
        </a:prstGeom>
        <a:ln w="3810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389641</xdr:colOff>
      <xdr:row>197</xdr:row>
      <xdr:rowOff>21996</xdr:rowOff>
    </xdr:from>
    <xdr:to>
      <xdr:col>2</xdr:col>
      <xdr:colOff>901832</xdr:colOff>
      <xdr:row>200</xdr:row>
      <xdr:rowOff>15712</xdr:rowOff>
    </xdr:to>
    <xdr:cxnSp macro="">
      <xdr:nvCxnSpPr>
        <xdr:cNvPr id="30" name="Straight Connector 2">
          <a:extLst>
            <a:ext uri="{FF2B5EF4-FFF2-40B4-BE49-F238E27FC236}">
              <a16:creationId xmlns:a16="http://schemas.microsoft.com/office/drawing/2014/main" id="{46E7785E-6489-4151-864D-E2BDD39FB07C}"/>
            </a:ext>
          </a:extLst>
        </xdr:cNvPr>
        <xdr:cNvCxnSpPr/>
      </xdr:nvCxnSpPr>
      <xdr:spPr>
        <a:xfrm>
          <a:off x="2897171" y="55178227"/>
          <a:ext cx="512191" cy="417922"/>
        </a:xfrm>
        <a:prstGeom prst="line">
          <a:avLst/>
        </a:prstGeom>
        <a:ln w="3810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1414020</xdr:colOff>
      <xdr:row>196</xdr:row>
      <xdr:rowOff>84841</xdr:rowOff>
    </xdr:from>
    <xdr:to>
      <xdr:col>2</xdr:col>
      <xdr:colOff>414779</xdr:colOff>
      <xdr:row>198</xdr:row>
      <xdr:rowOff>75414</xdr:rowOff>
    </xdr:to>
    <xdr:sp macro="" textlink="">
      <xdr:nvSpPr>
        <xdr:cNvPr id="31" name="CuadroTexto 30">
          <a:extLst>
            <a:ext uri="{FF2B5EF4-FFF2-40B4-BE49-F238E27FC236}">
              <a16:creationId xmlns:a16="http://schemas.microsoft.com/office/drawing/2014/main" id="{50E8FFFE-58E6-3FEA-135F-EE3B702E09DC}"/>
            </a:ext>
          </a:extLst>
        </xdr:cNvPr>
        <xdr:cNvSpPr txBox="1"/>
      </xdr:nvSpPr>
      <xdr:spPr>
        <a:xfrm>
          <a:off x="2092750" y="55099670"/>
          <a:ext cx="829559" cy="27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solidFill>
                <a:schemeClr val="bg1">
                  <a:lumMod val="50000"/>
                </a:schemeClr>
              </a:solidFill>
            </a:rPr>
            <a:t>Método</a:t>
          </a:r>
        </a:p>
      </xdr:txBody>
    </xdr:sp>
    <xdr:clientData/>
  </xdr:twoCellAnchor>
  <xdr:twoCellAnchor>
    <xdr:from>
      <xdr:col>1</xdr:col>
      <xdr:colOff>1387311</xdr:colOff>
      <xdr:row>202</xdr:row>
      <xdr:rowOff>67559</xdr:rowOff>
    </xdr:from>
    <xdr:to>
      <xdr:col>2</xdr:col>
      <xdr:colOff>388070</xdr:colOff>
      <xdr:row>204</xdr:row>
      <xdr:rowOff>58132</xdr:rowOff>
    </xdr:to>
    <xdr:sp macro="" textlink="">
      <xdr:nvSpPr>
        <xdr:cNvPr id="32" name="CuadroTexto 31">
          <a:extLst>
            <a:ext uri="{FF2B5EF4-FFF2-40B4-BE49-F238E27FC236}">
              <a16:creationId xmlns:a16="http://schemas.microsoft.com/office/drawing/2014/main" id="{C6F2C461-1AFC-4564-917A-6F052E8EF098}"/>
            </a:ext>
          </a:extLst>
        </xdr:cNvPr>
        <xdr:cNvSpPr txBox="1"/>
      </xdr:nvSpPr>
      <xdr:spPr>
        <a:xfrm>
          <a:off x="2066041" y="55930800"/>
          <a:ext cx="829559" cy="27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solidFill>
                <a:schemeClr val="bg1">
                  <a:lumMod val="50000"/>
                </a:schemeClr>
              </a:solidFill>
            </a:rPr>
            <a:t>Hombre</a:t>
          </a:r>
        </a:p>
      </xdr:txBody>
    </xdr:sp>
    <xdr:clientData/>
  </xdr:twoCellAnchor>
  <xdr:twoCellAnchor>
    <xdr:from>
      <xdr:col>8</xdr:col>
      <xdr:colOff>78557</xdr:colOff>
      <xdr:row>202</xdr:row>
      <xdr:rowOff>87984</xdr:rowOff>
    </xdr:from>
    <xdr:to>
      <xdr:col>9</xdr:col>
      <xdr:colOff>229386</xdr:colOff>
      <xdr:row>204</xdr:row>
      <xdr:rowOff>78557</xdr:rowOff>
    </xdr:to>
    <xdr:sp macro="" textlink="">
      <xdr:nvSpPr>
        <xdr:cNvPr id="33" name="CuadroTexto 32">
          <a:extLst>
            <a:ext uri="{FF2B5EF4-FFF2-40B4-BE49-F238E27FC236}">
              <a16:creationId xmlns:a16="http://schemas.microsoft.com/office/drawing/2014/main" id="{B9EF2096-5EBC-43AF-A3E5-A983DAEA6C17}"/>
            </a:ext>
          </a:extLst>
        </xdr:cNvPr>
        <xdr:cNvSpPr txBox="1"/>
      </xdr:nvSpPr>
      <xdr:spPr>
        <a:xfrm>
          <a:off x="8553254" y="55951225"/>
          <a:ext cx="829559" cy="27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solidFill>
                <a:schemeClr val="bg1">
                  <a:lumMod val="50000"/>
                </a:schemeClr>
              </a:solidFill>
            </a:rPr>
            <a:t>Ambiente</a:t>
          </a:r>
        </a:p>
      </xdr:txBody>
    </xdr:sp>
    <xdr:clientData/>
  </xdr:twoCellAnchor>
  <xdr:twoCellAnchor>
    <xdr:from>
      <xdr:col>4</xdr:col>
      <xdr:colOff>221529</xdr:colOff>
      <xdr:row>202</xdr:row>
      <xdr:rowOff>89555</xdr:rowOff>
    </xdr:from>
    <xdr:to>
      <xdr:col>5</xdr:col>
      <xdr:colOff>32993</xdr:colOff>
      <xdr:row>204</xdr:row>
      <xdr:rowOff>80128</xdr:rowOff>
    </xdr:to>
    <xdr:sp macro="" textlink="">
      <xdr:nvSpPr>
        <xdr:cNvPr id="34" name="CuadroTexto 33">
          <a:extLst>
            <a:ext uri="{FF2B5EF4-FFF2-40B4-BE49-F238E27FC236}">
              <a16:creationId xmlns:a16="http://schemas.microsoft.com/office/drawing/2014/main" id="{B7693957-E47D-42BF-BA44-B08EAFEAA944}"/>
            </a:ext>
          </a:extLst>
        </xdr:cNvPr>
        <xdr:cNvSpPr txBox="1"/>
      </xdr:nvSpPr>
      <xdr:spPr>
        <a:xfrm>
          <a:off x="5189455" y="55952796"/>
          <a:ext cx="829559" cy="27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solidFill>
                <a:schemeClr val="bg1">
                  <a:lumMod val="50000"/>
                </a:schemeClr>
              </a:solidFill>
            </a:rPr>
            <a:t>Máquina</a:t>
          </a:r>
        </a:p>
      </xdr:txBody>
    </xdr:sp>
    <xdr:clientData/>
  </xdr:twoCellAnchor>
  <xdr:twoCellAnchor>
    <xdr:from>
      <xdr:col>8</xdr:col>
      <xdr:colOff>81699</xdr:colOff>
      <xdr:row>196</xdr:row>
      <xdr:rowOff>72272</xdr:rowOff>
    </xdr:from>
    <xdr:to>
      <xdr:col>9</xdr:col>
      <xdr:colOff>232528</xdr:colOff>
      <xdr:row>198</xdr:row>
      <xdr:rowOff>62845</xdr:rowOff>
    </xdr:to>
    <xdr:sp macro="" textlink="">
      <xdr:nvSpPr>
        <xdr:cNvPr id="35" name="CuadroTexto 34">
          <a:extLst>
            <a:ext uri="{FF2B5EF4-FFF2-40B4-BE49-F238E27FC236}">
              <a16:creationId xmlns:a16="http://schemas.microsoft.com/office/drawing/2014/main" id="{C3739533-968B-4EF1-928F-D084DE4A548E}"/>
            </a:ext>
          </a:extLst>
        </xdr:cNvPr>
        <xdr:cNvSpPr txBox="1"/>
      </xdr:nvSpPr>
      <xdr:spPr>
        <a:xfrm>
          <a:off x="8556396" y="55087101"/>
          <a:ext cx="829559" cy="27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solidFill>
                <a:schemeClr val="bg1">
                  <a:lumMod val="50000"/>
                </a:schemeClr>
              </a:solidFill>
            </a:rPr>
            <a:t>Medida</a:t>
          </a:r>
        </a:p>
      </xdr:txBody>
    </xdr:sp>
    <xdr:clientData/>
  </xdr:twoCellAnchor>
  <xdr:twoCellAnchor>
    <xdr:from>
      <xdr:col>4</xdr:col>
      <xdr:colOff>139830</xdr:colOff>
      <xdr:row>196</xdr:row>
      <xdr:rowOff>102124</xdr:rowOff>
    </xdr:from>
    <xdr:to>
      <xdr:col>4</xdr:col>
      <xdr:colOff>969389</xdr:colOff>
      <xdr:row>198</xdr:row>
      <xdr:rowOff>92697</xdr:rowOff>
    </xdr:to>
    <xdr:sp macro="" textlink="">
      <xdr:nvSpPr>
        <xdr:cNvPr id="36" name="CuadroTexto 35">
          <a:extLst>
            <a:ext uri="{FF2B5EF4-FFF2-40B4-BE49-F238E27FC236}">
              <a16:creationId xmlns:a16="http://schemas.microsoft.com/office/drawing/2014/main" id="{6508438A-6E45-46DB-AE2D-D4F4F7A9F2F0}"/>
            </a:ext>
          </a:extLst>
        </xdr:cNvPr>
        <xdr:cNvSpPr txBox="1"/>
      </xdr:nvSpPr>
      <xdr:spPr>
        <a:xfrm>
          <a:off x="5107756" y="55116953"/>
          <a:ext cx="829559" cy="27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solidFill>
                <a:schemeClr val="bg1">
                  <a:lumMod val="50000"/>
                </a:schemeClr>
              </a:solidFill>
            </a:rPr>
            <a:t>Material</a:t>
          </a:r>
        </a:p>
      </xdr:txBody>
    </xdr:sp>
    <xdr:clientData/>
  </xdr:twoCellAnchor>
  <xdr:twoCellAnchor editAs="oneCell">
    <xdr:from>
      <xdr:col>9</xdr:col>
      <xdr:colOff>443059</xdr:colOff>
      <xdr:row>276</xdr:row>
      <xdr:rowOff>103695</xdr:rowOff>
    </xdr:from>
    <xdr:to>
      <xdr:col>10</xdr:col>
      <xdr:colOff>641022</xdr:colOff>
      <xdr:row>281</xdr:row>
      <xdr:rowOff>150828</xdr:rowOff>
    </xdr:to>
    <xdr:pic>
      <xdr:nvPicPr>
        <xdr:cNvPr id="37" name="Imagen 36">
          <a:extLst>
            <a:ext uri="{FF2B5EF4-FFF2-40B4-BE49-F238E27FC236}">
              <a16:creationId xmlns:a16="http://schemas.microsoft.com/office/drawing/2014/main" id="{631F148D-D8EF-4E5B-B4BC-378C6073F79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03496" y="71172371"/>
          <a:ext cx="876693" cy="14705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3.2%20PDCA%20TEL%202025%20CBEL%20actualizado.xlsm" TargetMode="External"/><Relationship Id="rId2" Type="http://schemas.openxmlformats.org/officeDocument/2006/relationships/externalLinkPath" Target="file:///C:\Users\Admin\Downloads\3.2%20PDCA%20TEL%202025%20CBEL%20actualizado.xlsm" TargetMode="External"/><Relationship Id="rId1" Type="http://schemas.openxmlformats.org/officeDocument/2006/relationships/externalLinkPath" Target="/Users/Admin/Downloads/3.2%20PDCA%20TEL%202025%20CBEL%20actualiz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ENU"/>
      <sheetName val="Step 01"/>
      <sheetName val="Problem Statement"/>
      <sheetName val="Time Series Trap"/>
      <sheetName val="Current Time Series"/>
      <sheetName val="Step 02"/>
      <sheetName val="Arbol PI TEL"/>
      <sheetName val="P Phase SDCA Checklist"/>
      <sheetName val="KPI tree."/>
      <sheetName val="Pareto (2)"/>
      <sheetName val="Pareto"/>
      <sheetName val="Pareto Merma en Reposo"/>
      <sheetName val="GOPs &amp; Means"/>
      <sheetName val="Process Mapping"/>
      <sheetName val="Step 3"/>
      <sheetName val="Fishbone CBel"/>
      <sheetName val="Fishbone WBEL (Filtración)"/>
      <sheetName val="5 WHYs"/>
      <sheetName val="5 WHYs (Filtración)"/>
      <sheetName val="Step 4"/>
      <sheetName val="Action Plan (COC)"/>
      <sheetName val="Step 5"/>
      <sheetName val="Step 6"/>
      <sheetName val="PIs Check"/>
      <sheetName val="Semana 9-13"/>
      <sheetName val="Semana 14-16"/>
      <sheetName val="PI Eficiencia"/>
      <sheetName val="Step 7"/>
      <sheetName val="Standardize"/>
      <sheetName val="SIC Eficiencias"/>
      <sheetName val="Risk Analysis"/>
      <sheetName val="Step 8"/>
      <sheetName val="Result Check "/>
      <sheetName val="A Phase SDCA Checklist"/>
      <sheetName val="Conclusion"/>
      <sheetName val="Hoja4"/>
      <sheetName val="Fishbone WBEL"/>
      <sheetName val="5 WHYs WBEL"/>
      <sheetName val="Hoja2"/>
      <sheetName val="Análisis Malta"/>
      <sheetName val="Problem Map"/>
      <sheetName val="GEMBA"/>
      <sheetName val="Additional Data Tab"/>
      <sheetName val="Scatter Plot"/>
      <sheetName val="Control Chart"/>
      <sheetName val="Blank Data Tab"/>
      <sheetName val="Cause_and_Effect_Trap"/>
      <sheetName val="5_WHY_Trap"/>
    </sheetNames>
    <sheetDataSet>
      <sheetData sheetId="0"/>
      <sheetData sheetId="1"/>
      <sheetData sheetId="2"/>
      <sheetData sheetId="3"/>
      <sheetData sheetId="4">
        <row r="13">
          <cell r="E13" t="str">
            <v>ACTUAL</v>
          </cell>
        </row>
        <row r="14">
          <cell r="C14" t="str">
            <v>Ene</v>
          </cell>
          <cell r="D14">
            <v>2.1</v>
          </cell>
          <cell r="E14">
            <v>2.59</v>
          </cell>
        </row>
        <row r="15">
          <cell r="C15" t="str">
            <v>Feb</v>
          </cell>
          <cell r="D15">
            <v>2.1</v>
          </cell>
          <cell r="E15">
            <v>2.58</v>
          </cell>
        </row>
        <row r="16">
          <cell r="C16" t="str">
            <v>Mar</v>
          </cell>
          <cell r="D16">
            <v>2.1</v>
          </cell>
          <cell r="E16">
            <v>2.58</v>
          </cell>
        </row>
        <row r="17">
          <cell r="C17" t="str">
            <v>Abri</v>
          </cell>
          <cell r="D17">
            <v>2.1</v>
          </cell>
          <cell r="E17">
            <v>2.57</v>
          </cell>
        </row>
        <row r="18">
          <cell r="C18" t="str">
            <v>May</v>
          </cell>
          <cell r="D18">
            <v>2.1</v>
          </cell>
          <cell r="E18">
            <v>2.4700000000000002</v>
          </cell>
        </row>
        <row r="19">
          <cell r="C19" t="str">
            <v>Jun</v>
          </cell>
          <cell r="D19">
            <v>2.1</v>
          </cell>
        </row>
        <row r="20">
          <cell r="C20" t="str">
            <v>Jul</v>
          </cell>
          <cell r="D20">
            <v>2.1</v>
          </cell>
        </row>
        <row r="21">
          <cell r="C21" t="str">
            <v>Ago</v>
          </cell>
          <cell r="D21">
            <v>2.1</v>
          </cell>
        </row>
        <row r="22">
          <cell r="C22" t="str">
            <v>Sep</v>
          </cell>
          <cell r="D22">
            <v>2.1</v>
          </cell>
        </row>
        <row r="23">
          <cell r="C23" t="str">
            <v>Oct</v>
          </cell>
          <cell r="D23">
            <v>2.1</v>
          </cell>
        </row>
        <row r="24">
          <cell r="C24" t="str">
            <v>Nov</v>
          </cell>
          <cell r="D24">
            <v>2.1</v>
          </cell>
        </row>
        <row r="25">
          <cell r="C25" t="str">
            <v>Dic</v>
          </cell>
          <cell r="D25">
            <v>2.1</v>
          </cell>
        </row>
        <row r="26">
          <cell r="C26" t="str">
            <v>YTD Target</v>
          </cell>
        </row>
        <row r="27">
          <cell r="C27" t="str">
            <v>YTD Actual</v>
          </cell>
        </row>
        <row r="54">
          <cell r="Y54">
            <v>2.5580000000000003</v>
          </cell>
        </row>
        <row r="55">
          <cell r="Y55">
            <v>2.1000000000000005</v>
          </cell>
        </row>
      </sheetData>
      <sheetData sheetId="5"/>
      <sheetData sheetId="6"/>
      <sheetData sheetId="7"/>
      <sheetData sheetId="8"/>
      <sheetData sheetId="9"/>
      <sheetData sheetId="10">
        <row r="13">
          <cell r="E13" t="str">
            <v>GAP</v>
          </cell>
          <cell r="H13" t="str">
            <v>% ACUMULADO</v>
          </cell>
        </row>
        <row r="14">
          <cell r="C14" t="str">
            <v>Cocimientos</v>
          </cell>
          <cell r="D14" t="str">
            <v>WBEL</v>
          </cell>
          <cell r="E14">
            <v>7.0000000000000007E-2</v>
          </cell>
          <cell r="H14">
            <v>2.4799999999999999E-2</v>
          </cell>
        </row>
        <row r="15">
          <cell r="C15" t="str">
            <v>Cuartos frios</v>
          </cell>
          <cell r="D15" t="str">
            <v>CBEL</v>
          </cell>
          <cell r="E15">
            <v>2.1</v>
          </cell>
          <cell r="H15">
            <v>0.76950000000000007</v>
          </cell>
        </row>
        <row r="16">
          <cell r="C16" t="str">
            <v>Envasado</v>
          </cell>
          <cell r="D16" t="str">
            <v>PEL</v>
          </cell>
          <cell r="E16">
            <v>0.65</v>
          </cell>
          <cell r="H16">
            <v>1</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E4897-2924-4B0E-B049-1F1BDB07C8AF}">
  <dimension ref="A9:AA285"/>
  <sheetViews>
    <sheetView tabSelected="1" topLeftCell="A60" zoomScaleNormal="100" workbookViewId="0">
      <selection activeCell="C287" sqref="C287"/>
    </sheetView>
  </sheetViews>
  <sheetFormatPr baseColWidth="10" defaultRowHeight="11.15" x14ac:dyDescent="0.2"/>
  <cols>
    <col min="2" max="2" width="32.33203125" customWidth="1"/>
    <col min="3" max="3" width="31.33203125" customWidth="1"/>
    <col min="4" max="4" width="17.6640625" customWidth="1"/>
    <col min="5" max="5" width="18" customWidth="1"/>
    <col min="6" max="6" width="16.33203125" customWidth="1"/>
    <col min="7" max="7" width="17.33203125" customWidth="1"/>
    <col min="8" max="8" width="14.5" customWidth="1"/>
    <col min="9" max="9" width="14.83203125" customWidth="1"/>
  </cols>
  <sheetData>
    <row r="9" spans="1:17" s="87" customFormat="1" x14ac:dyDescent="0.2">
      <c r="A9" s="88" t="s">
        <v>78</v>
      </c>
      <c r="B9" s="88"/>
      <c r="C9" s="88"/>
      <c r="D9" s="88"/>
      <c r="E9" s="88"/>
      <c r="F9" s="88"/>
    </row>
    <row r="10" spans="1:17" s="87" customFormat="1" x14ac:dyDescent="0.2">
      <c r="A10" s="88"/>
      <c r="B10" s="88"/>
      <c r="C10" s="88"/>
      <c r="D10" s="88"/>
      <c r="E10" s="88"/>
      <c r="F10" s="88"/>
    </row>
    <row r="13" spans="1:17" ht="18.600000000000001" customHeight="1" x14ac:dyDescent="0.2">
      <c r="B13" s="86" t="s">
        <v>41</v>
      </c>
      <c r="C13" s="86"/>
      <c r="D13" s="86"/>
      <c r="E13" s="86"/>
      <c r="F13" s="86"/>
      <c r="G13" s="86"/>
      <c r="H13" s="86"/>
      <c r="I13" s="86"/>
      <c r="J13" s="86"/>
      <c r="K13" s="86"/>
      <c r="L13" s="86"/>
      <c r="M13" s="86"/>
      <c r="N13" s="86"/>
      <c r="O13" s="86"/>
      <c r="P13" s="86"/>
      <c r="Q13" s="86"/>
    </row>
    <row r="14" spans="1:17" ht="11.15" customHeight="1" x14ac:dyDescent="0.2">
      <c r="B14" s="86"/>
      <c r="C14" s="86"/>
      <c r="D14" s="86"/>
      <c r="E14" s="86"/>
      <c r="F14" s="86"/>
      <c r="G14" s="86"/>
      <c r="H14" s="86"/>
      <c r="I14" s="86"/>
      <c r="J14" s="86"/>
      <c r="K14" s="86"/>
      <c r="L14" s="86"/>
      <c r="M14" s="86"/>
      <c r="N14" s="86"/>
      <c r="O14" s="86"/>
      <c r="P14" s="86"/>
      <c r="Q14" s="86"/>
    </row>
    <row r="15" spans="1:17" ht="11.15" customHeight="1" x14ac:dyDescent="0.2">
      <c r="B15" s="86"/>
      <c r="C15" s="86"/>
      <c r="D15" s="86"/>
      <c r="E15" s="86"/>
      <c r="F15" s="86"/>
      <c r="G15" s="86"/>
      <c r="H15" s="86"/>
      <c r="I15" s="86"/>
      <c r="J15" s="86"/>
      <c r="K15" s="86"/>
      <c r="L15" s="86"/>
      <c r="M15" s="86"/>
      <c r="N15" s="86"/>
      <c r="O15" s="86"/>
      <c r="P15" s="86"/>
      <c r="Q15" s="86"/>
    </row>
    <row r="16" spans="1:17" ht="11.15" customHeight="1" x14ac:dyDescent="0.2">
      <c r="B16" s="86"/>
      <c r="C16" s="86"/>
      <c r="D16" s="86"/>
      <c r="E16" s="86"/>
      <c r="F16" s="86"/>
      <c r="G16" s="86"/>
      <c r="H16" s="86"/>
      <c r="I16" s="86"/>
      <c r="J16" s="86"/>
      <c r="K16" s="86"/>
      <c r="L16" s="86"/>
      <c r="M16" s="86"/>
      <c r="N16" s="86"/>
      <c r="O16" s="86"/>
      <c r="P16" s="86"/>
      <c r="Q16" s="86"/>
    </row>
    <row r="17" spans="2:20" x14ac:dyDescent="0.2">
      <c r="B17" s="86"/>
      <c r="C17" s="86"/>
      <c r="D17" s="86"/>
      <c r="E17" s="86"/>
      <c r="F17" s="86"/>
      <c r="G17" s="86"/>
      <c r="H17" s="86"/>
      <c r="I17" s="86"/>
      <c r="J17" s="86"/>
      <c r="K17" s="86"/>
      <c r="L17" s="86"/>
      <c r="M17" s="86"/>
      <c r="N17" s="86"/>
      <c r="O17" s="86"/>
      <c r="P17" s="86"/>
      <c r="Q17" s="86"/>
    </row>
    <row r="18" spans="2:20" x14ac:dyDescent="0.2">
      <c r="B18" s="86"/>
      <c r="C18" s="86"/>
      <c r="D18" s="86"/>
      <c r="E18" s="86"/>
      <c r="F18" s="86"/>
      <c r="G18" s="86"/>
      <c r="H18" s="86"/>
      <c r="I18" s="86"/>
      <c r="J18" s="86"/>
      <c r="K18" s="86"/>
      <c r="L18" s="86"/>
      <c r="M18" s="86"/>
      <c r="N18" s="86"/>
      <c r="O18" s="86"/>
      <c r="P18" s="86"/>
      <c r="Q18" s="86"/>
    </row>
    <row r="19" spans="2:20" ht="11.9" thickBot="1" x14ac:dyDescent="0.25"/>
    <row r="20" spans="2:20" ht="31.95" thickBot="1" x14ac:dyDescent="0.25">
      <c r="B20" s="2" t="s">
        <v>0</v>
      </c>
      <c r="C20" s="3" t="s">
        <v>1</v>
      </c>
      <c r="D20" s="4"/>
      <c r="E20" s="5"/>
      <c r="F20" s="6" t="s">
        <v>2</v>
      </c>
      <c r="G20" s="3" t="s">
        <v>3</v>
      </c>
      <c r="H20" s="4"/>
      <c r="I20" s="4"/>
      <c r="J20" s="5"/>
      <c r="K20" s="7" t="s">
        <v>4</v>
      </c>
      <c r="L20" s="8"/>
      <c r="M20" s="9"/>
      <c r="N20" s="10">
        <v>45810</v>
      </c>
      <c r="O20" s="11"/>
      <c r="P20" s="11"/>
      <c r="Q20" s="11"/>
      <c r="R20" s="11"/>
      <c r="S20" s="11"/>
      <c r="T20" s="12"/>
    </row>
    <row r="21" spans="2:20" ht="16.350000000000001" thickBot="1" x14ac:dyDescent="0.3">
      <c r="B21" s="13"/>
      <c r="C21" s="13"/>
      <c r="D21" s="13"/>
      <c r="E21" s="13"/>
      <c r="F21" s="13"/>
      <c r="G21" s="13"/>
      <c r="H21" s="13"/>
      <c r="I21" s="13"/>
      <c r="J21" s="14"/>
      <c r="K21" s="14"/>
      <c r="L21" s="14"/>
      <c r="M21" s="14"/>
      <c r="N21" s="14"/>
      <c r="O21" s="14"/>
      <c r="P21" s="14"/>
      <c r="Q21" s="14"/>
      <c r="R21" s="14"/>
      <c r="S21" s="14"/>
      <c r="T21" s="14"/>
    </row>
    <row r="22" spans="2:20" ht="16.350000000000001" thickBot="1" x14ac:dyDescent="0.25">
      <c r="B22" s="15" t="s">
        <v>5</v>
      </c>
      <c r="C22" s="16"/>
      <c r="D22" s="16"/>
      <c r="E22" s="16"/>
      <c r="F22" s="16"/>
      <c r="G22" s="16"/>
      <c r="H22" s="16"/>
      <c r="I22" s="16"/>
      <c r="J22" s="16"/>
      <c r="K22" s="16"/>
      <c r="L22" s="16"/>
      <c r="M22" s="16"/>
      <c r="N22" s="16"/>
      <c r="O22" s="16"/>
      <c r="P22" s="16"/>
      <c r="Q22" s="16"/>
      <c r="R22" s="16"/>
      <c r="S22" s="16"/>
      <c r="T22" s="17"/>
    </row>
    <row r="23" spans="2:20" ht="15.6" thickBot="1" x14ac:dyDescent="0.25">
      <c r="B23" s="18" t="s">
        <v>6</v>
      </c>
      <c r="C23" s="18"/>
      <c r="D23" s="18"/>
      <c r="E23" s="18"/>
      <c r="F23" s="18"/>
      <c r="G23" s="18"/>
      <c r="H23" s="18"/>
      <c r="I23" s="18"/>
      <c r="J23" s="18"/>
      <c r="K23" s="18"/>
      <c r="L23" s="18"/>
      <c r="M23" s="18"/>
      <c r="N23" s="18"/>
      <c r="O23" s="18"/>
      <c r="P23" s="18"/>
      <c r="Q23" s="18"/>
      <c r="R23" s="18"/>
      <c r="S23" s="18"/>
      <c r="T23" s="18"/>
    </row>
    <row r="24" spans="2:20" ht="16.350000000000001" thickTop="1" thickBot="1" x14ac:dyDescent="0.25">
      <c r="B24" s="19"/>
      <c r="C24" s="19"/>
      <c r="D24" s="19"/>
      <c r="E24" s="19"/>
      <c r="F24" s="19"/>
      <c r="G24" s="19"/>
      <c r="H24" s="19"/>
      <c r="I24" s="19"/>
      <c r="J24" s="19"/>
      <c r="K24" s="19"/>
      <c r="L24" s="19"/>
      <c r="M24" s="19"/>
      <c r="N24" s="19"/>
      <c r="O24" s="19"/>
      <c r="P24" s="19"/>
      <c r="Q24" s="19"/>
      <c r="R24" s="19"/>
      <c r="S24" s="19"/>
      <c r="T24" s="19"/>
    </row>
    <row r="25" spans="2:20" ht="16.350000000000001" thickBot="1" x14ac:dyDescent="0.25">
      <c r="B25" s="15" t="s">
        <v>7</v>
      </c>
      <c r="C25" s="16"/>
      <c r="D25" s="16"/>
      <c r="E25" s="16"/>
      <c r="F25" s="16"/>
      <c r="G25" s="16"/>
      <c r="H25" s="16"/>
      <c r="I25" s="16"/>
      <c r="J25" s="16"/>
      <c r="K25" s="16"/>
      <c r="L25" s="16"/>
      <c r="M25" s="16"/>
      <c r="N25" s="16"/>
      <c r="O25" s="16"/>
      <c r="P25" s="16"/>
      <c r="Q25" s="16"/>
      <c r="R25" s="16"/>
      <c r="S25" s="16"/>
      <c r="T25" s="17"/>
    </row>
    <row r="26" spans="2:20" ht="15.6" thickBot="1" x14ac:dyDescent="0.25">
      <c r="B26" s="18" t="s">
        <v>8</v>
      </c>
      <c r="C26" s="18"/>
      <c r="D26" s="18"/>
      <c r="E26" s="18"/>
      <c r="F26" s="18"/>
      <c r="G26" s="18"/>
      <c r="H26" s="18"/>
      <c r="I26" s="18"/>
      <c r="J26" s="18"/>
      <c r="K26" s="18"/>
      <c r="L26" s="18"/>
      <c r="M26" s="18"/>
      <c r="N26" s="18"/>
      <c r="O26" s="18"/>
      <c r="P26" s="18"/>
      <c r="Q26" s="18"/>
      <c r="R26" s="18"/>
      <c r="S26" s="18"/>
      <c r="T26" s="18"/>
    </row>
    <row r="27" spans="2:20" ht="17.100000000000001" thickTop="1" thickBot="1" x14ac:dyDescent="0.3">
      <c r="B27" s="14"/>
      <c r="C27" s="20"/>
      <c r="D27" s="20"/>
      <c r="E27" s="20"/>
      <c r="F27" s="20"/>
      <c r="G27" s="20"/>
      <c r="H27" s="20"/>
      <c r="I27" s="20"/>
      <c r="J27" s="14"/>
      <c r="K27" s="14"/>
      <c r="L27" s="14"/>
      <c r="M27" s="14"/>
      <c r="N27" s="14"/>
      <c r="O27" s="14"/>
      <c r="P27" s="14"/>
      <c r="Q27" s="14"/>
      <c r="R27" s="14"/>
      <c r="S27" s="14"/>
      <c r="T27" s="14"/>
    </row>
    <row r="28" spans="2:20" ht="16.350000000000001" thickBot="1" x14ac:dyDescent="0.25">
      <c r="B28" s="21" t="s">
        <v>9</v>
      </c>
      <c r="C28" s="22"/>
      <c r="D28" s="22"/>
      <c r="E28" s="22"/>
      <c r="F28" s="22"/>
      <c r="G28" s="22"/>
      <c r="H28" s="22"/>
      <c r="I28" s="22"/>
      <c r="J28" s="22"/>
      <c r="K28" s="22"/>
      <c r="L28" s="22"/>
      <c r="M28" s="22"/>
      <c r="N28" s="22"/>
      <c r="O28" s="22"/>
      <c r="P28" s="22"/>
      <c r="Q28" s="22"/>
      <c r="R28" s="22"/>
      <c r="S28" s="22"/>
      <c r="T28" s="23"/>
    </row>
    <row r="29" spans="2:20" ht="16.350000000000001" thickBot="1" x14ac:dyDescent="0.25">
      <c r="B29" s="24" t="s">
        <v>10</v>
      </c>
      <c r="C29" s="25"/>
      <c r="D29" s="26" t="s">
        <v>11</v>
      </c>
      <c r="E29" s="27"/>
      <c r="F29" s="27"/>
      <c r="G29" s="28"/>
      <c r="H29" s="29" t="s">
        <v>12</v>
      </c>
      <c r="I29" s="29"/>
      <c r="J29" s="29"/>
      <c r="K29" s="29"/>
      <c r="L29" s="30" t="s">
        <v>13</v>
      </c>
      <c r="M29" s="31"/>
      <c r="N29" s="31"/>
      <c r="O29" s="31"/>
      <c r="P29" s="31"/>
      <c r="Q29" s="31"/>
      <c r="R29" s="31"/>
      <c r="S29" s="31"/>
      <c r="T29" s="32"/>
    </row>
    <row r="30" spans="2:20" ht="46.8" x14ac:dyDescent="0.2">
      <c r="B30" s="1" t="s">
        <v>14</v>
      </c>
      <c r="C30" s="33"/>
      <c r="D30" s="34" t="s">
        <v>15</v>
      </c>
      <c r="E30" s="35"/>
      <c r="F30" s="35"/>
      <c r="G30" s="35"/>
      <c r="H30" s="31"/>
      <c r="I30" s="31"/>
      <c r="J30" s="31"/>
      <c r="K30" s="31"/>
      <c r="L30" s="35"/>
      <c r="M30" s="35"/>
      <c r="N30" s="35"/>
      <c r="O30" s="35"/>
      <c r="P30" s="35"/>
      <c r="Q30" s="35"/>
      <c r="R30" s="35"/>
      <c r="S30" s="35"/>
      <c r="T30" s="36"/>
    </row>
    <row r="31" spans="2:20" ht="15.6" x14ac:dyDescent="0.2">
      <c r="B31" s="37" t="s">
        <v>16</v>
      </c>
      <c r="C31" s="38"/>
      <c r="D31" s="39">
        <v>2.58</v>
      </c>
      <c r="E31" s="40"/>
      <c r="F31" s="40"/>
      <c r="G31" s="41"/>
      <c r="H31" s="42" t="s">
        <v>17</v>
      </c>
      <c r="I31" s="42"/>
      <c r="J31" s="42"/>
      <c r="K31" s="42"/>
      <c r="L31" s="39">
        <v>2.35</v>
      </c>
      <c r="M31" s="40"/>
      <c r="N31" s="40"/>
      <c r="O31" s="40"/>
      <c r="P31" s="40"/>
      <c r="Q31" s="40"/>
      <c r="R31" s="40"/>
      <c r="S31" s="40"/>
      <c r="T31" s="41"/>
    </row>
    <row r="32" spans="2:20" ht="15.6" x14ac:dyDescent="0.2">
      <c r="B32" s="37" t="s">
        <v>18</v>
      </c>
      <c r="C32" s="38"/>
      <c r="D32" s="43">
        <v>46022</v>
      </c>
      <c r="E32" s="44"/>
      <c r="F32" s="44"/>
      <c r="G32" s="45"/>
      <c r="H32" s="42" t="s">
        <v>19</v>
      </c>
      <c r="I32" s="42"/>
      <c r="J32" s="42"/>
      <c r="K32" s="42"/>
      <c r="L32" s="46" t="s">
        <v>20</v>
      </c>
      <c r="M32" s="47"/>
      <c r="N32" s="47"/>
      <c r="O32" s="47"/>
      <c r="P32" s="47"/>
      <c r="Q32" s="47"/>
      <c r="R32" s="47"/>
      <c r="S32" s="47"/>
      <c r="T32" s="48"/>
    </row>
    <row r="33" spans="2:20" ht="15.6" x14ac:dyDescent="0.2">
      <c r="B33" s="37" t="s">
        <v>21</v>
      </c>
      <c r="C33" s="38"/>
      <c r="D33" s="46"/>
      <c r="E33" s="47"/>
      <c r="F33" s="47"/>
      <c r="G33" s="48"/>
      <c r="H33" s="42" t="s">
        <v>22</v>
      </c>
      <c r="I33" s="42"/>
      <c r="J33" s="42"/>
      <c r="K33" s="42"/>
      <c r="L33" s="43" t="s">
        <v>23</v>
      </c>
      <c r="M33" s="44"/>
      <c r="N33" s="44"/>
      <c r="O33" s="44"/>
      <c r="P33" s="44"/>
      <c r="Q33" s="44"/>
      <c r="R33" s="44"/>
      <c r="S33" s="44"/>
      <c r="T33" s="45"/>
    </row>
    <row r="34" spans="2:20" ht="16.350000000000001" thickBot="1" x14ac:dyDescent="0.25">
      <c r="B34" s="105" t="s">
        <v>24</v>
      </c>
      <c r="C34" s="106"/>
      <c r="D34" s="49"/>
      <c r="E34" s="50"/>
      <c r="F34" s="50"/>
      <c r="G34" s="51"/>
      <c r="H34" s="52" t="s">
        <v>25</v>
      </c>
      <c r="I34" s="52"/>
      <c r="J34" s="52"/>
      <c r="K34" s="52"/>
      <c r="L34" s="53" t="s">
        <v>26</v>
      </c>
      <c r="M34" s="54"/>
      <c r="N34" s="54"/>
      <c r="O34" s="54"/>
      <c r="P34" s="54"/>
      <c r="Q34" s="54"/>
      <c r="R34" s="54"/>
      <c r="S34" s="54"/>
      <c r="T34" s="55"/>
    </row>
    <row r="35" spans="2:20" ht="16.350000000000001" thickBot="1" x14ac:dyDescent="0.3">
      <c r="B35" s="14"/>
      <c r="C35" s="20"/>
      <c r="D35" s="20"/>
      <c r="E35" s="20"/>
      <c r="F35" s="20"/>
      <c r="G35" s="20"/>
      <c r="H35" s="20"/>
      <c r="I35" s="20"/>
      <c r="J35" s="14"/>
      <c r="K35" s="14"/>
      <c r="L35" s="14"/>
      <c r="M35" s="14"/>
      <c r="N35" s="14"/>
      <c r="O35" s="14"/>
      <c r="P35" s="14"/>
      <c r="Q35" s="14"/>
      <c r="R35" s="14"/>
      <c r="S35" s="14"/>
      <c r="T35" s="14"/>
    </row>
    <row r="36" spans="2:20" ht="16.350000000000001" thickBot="1" x14ac:dyDescent="0.25">
      <c r="B36" s="15" t="s">
        <v>27</v>
      </c>
      <c r="C36" s="16"/>
      <c r="D36" s="16"/>
      <c r="E36" s="16"/>
      <c r="F36" s="16"/>
      <c r="G36" s="16"/>
      <c r="H36" s="16"/>
      <c r="I36" s="16"/>
      <c r="J36" s="16"/>
      <c r="K36" s="16"/>
      <c r="L36" s="16"/>
      <c r="M36" s="16"/>
      <c r="N36" s="16"/>
      <c r="O36" s="16"/>
      <c r="P36" s="16"/>
      <c r="Q36" s="16"/>
      <c r="R36" s="16"/>
      <c r="S36" s="16"/>
      <c r="T36" s="17"/>
    </row>
    <row r="37" spans="2:20" ht="15.6" x14ac:dyDescent="0.2">
      <c r="B37" s="99" t="s">
        <v>28</v>
      </c>
      <c r="C37" s="100"/>
      <c r="D37" s="58" t="s">
        <v>29</v>
      </c>
      <c r="E37" s="59"/>
      <c r="F37" s="59"/>
      <c r="G37" s="60"/>
      <c r="H37" s="61" t="s">
        <v>30</v>
      </c>
      <c r="I37" s="62"/>
      <c r="J37" s="62"/>
      <c r="K37" s="62"/>
      <c r="L37" s="59" t="s">
        <v>31</v>
      </c>
      <c r="M37" s="59"/>
      <c r="N37" s="59"/>
      <c r="O37" s="59"/>
      <c r="P37" s="59"/>
      <c r="Q37" s="59"/>
      <c r="R37" s="59"/>
      <c r="S37" s="59"/>
      <c r="T37" s="63"/>
    </row>
    <row r="38" spans="2:20" ht="15.6" x14ac:dyDescent="0.2">
      <c r="B38" s="101"/>
      <c r="C38" s="102"/>
      <c r="D38" s="49" t="s">
        <v>26</v>
      </c>
      <c r="E38" s="50"/>
      <c r="F38" s="50"/>
      <c r="G38" s="51"/>
      <c r="H38" s="64"/>
      <c r="I38" s="65"/>
      <c r="J38" s="65"/>
      <c r="K38" s="65"/>
      <c r="L38" s="50" t="s">
        <v>32</v>
      </c>
      <c r="M38" s="50"/>
      <c r="N38" s="50"/>
      <c r="O38" s="50"/>
      <c r="P38" s="50"/>
      <c r="Q38" s="50"/>
      <c r="R38" s="50"/>
      <c r="S38" s="50"/>
      <c r="T38" s="66"/>
    </row>
    <row r="39" spans="2:20" ht="15.6" x14ac:dyDescent="0.2">
      <c r="B39" s="101"/>
      <c r="C39" s="102"/>
      <c r="D39" s="67" t="s">
        <v>33</v>
      </c>
      <c r="E39" s="67"/>
      <c r="F39" s="67"/>
      <c r="G39" s="68"/>
      <c r="H39" s="64"/>
      <c r="I39" s="65"/>
      <c r="J39" s="65"/>
      <c r="K39" s="65"/>
      <c r="L39" s="67" t="s">
        <v>34</v>
      </c>
      <c r="M39" s="67"/>
      <c r="N39" s="67"/>
      <c r="O39" s="67"/>
      <c r="P39" s="67"/>
      <c r="Q39" s="67"/>
      <c r="R39" s="67"/>
      <c r="S39" s="67"/>
      <c r="T39" s="67"/>
    </row>
    <row r="40" spans="2:20" ht="15.6" x14ac:dyDescent="0.2">
      <c r="B40" s="101"/>
      <c r="C40" s="102"/>
      <c r="D40" s="95"/>
      <c r="E40" s="90"/>
      <c r="F40" s="90"/>
      <c r="G40" s="96"/>
      <c r="H40" s="64"/>
      <c r="I40" s="65"/>
      <c r="J40" s="65"/>
      <c r="K40" s="65"/>
      <c r="L40" s="89"/>
      <c r="M40" s="90"/>
      <c r="N40" s="90"/>
      <c r="O40" s="90"/>
      <c r="P40" s="90"/>
      <c r="Q40" s="90"/>
      <c r="R40" s="90"/>
      <c r="S40" s="90"/>
      <c r="T40" s="91"/>
    </row>
    <row r="41" spans="2:20" ht="15.6" x14ac:dyDescent="0.2">
      <c r="B41" s="101"/>
      <c r="C41" s="102"/>
      <c r="D41" s="95"/>
      <c r="E41" s="90"/>
      <c r="F41" s="90"/>
      <c r="G41" s="96"/>
      <c r="H41" s="64"/>
      <c r="I41" s="65"/>
      <c r="J41" s="65"/>
      <c r="K41" s="65"/>
      <c r="L41" s="89"/>
      <c r="M41" s="90"/>
      <c r="N41" s="90"/>
      <c r="O41" s="90"/>
      <c r="P41" s="90"/>
      <c r="Q41" s="90"/>
      <c r="R41" s="90"/>
      <c r="S41" s="90"/>
      <c r="T41" s="91"/>
    </row>
    <row r="42" spans="2:20" ht="15.6" x14ac:dyDescent="0.2">
      <c r="B42" s="101"/>
      <c r="C42" s="102"/>
      <c r="D42" s="95"/>
      <c r="E42" s="90"/>
      <c r="F42" s="90"/>
      <c r="G42" s="96"/>
      <c r="H42" s="64"/>
      <c r="I42" s="65"/>
      <c r="J42" s="65"/>
      <c r="K42" s="65"/>
      <c r="L42" s="89"/>
      <c r="M42" s="90"/>
      <c r="N42" s="90"/>
      <c r="O42" s="90"/>
      <c r="P42" s="90"/>
      <c r="Q42" s="90"/>
      <c r="R42" s="90"/>
      <c r="S42" s="90"/>
      <c r="T42" s="91"/>
    </row>
    <row r="43" spans="2:20" ht="15.6" x14ac:dyDescent="0.2">
      <c r="B43" s="101"/>
      <c r="C43" s="102"/>
      <c r="D43" s="95"/>
      <c r="E43" s="90"/>
      <c r="F43" s="90"/>
      <c r="G43" s="96"/>
      <c r="H43" s="64"/>
      <c r="I43" s="65"/>
      <c r="J43" s="65"/>
      <c r="K43" s="65"/>
      <c r="L43" s="89"/>
      <c r="M43" s="90"/>
      <c r="N43" s="90"/>
      <c r="O43" s="90"/>
      <c r="P43" s="90"/>
      <c r="Q43" s="90"/>
      <c r="R43" s="90"/>
      <c r="S43" s="90"/>
      <c r="T43" s="91"/>
    </row>
    <row r="44" spans="2:20" ht="15.6" x14ac:dyDescent="0.2">
      <c r="B44" s="101"/>
      <c r="C44" s="102"/>
      <c r="D44" s="95"/>
      <c r="E44" s="90"/>
      <c r="F44" s="90"/>
      <c r="G44" s="96"/>
      <c r="H44" s="64"/>
      <c r="I44" s="65"/>
      <c r="J44" s="65"/>
      <c r="K44" s="65"/>
      <c r="L44" s="89"/>
      <c r="M44" s="90"/>
      <c r="N44" s="90"/>
      <c r="O44" s="90"/>
      <c r="P44" s="90"/>
      <c r="Q44" s="90"/>
      <c r="R44" s="90"/>
      <c r="S44" s="90"/>
      <c r="T44" s="91"/>
    </row>
    <row r="45" spans="2:20" ht="16.350000000000001" thickBot="1" x14ac:dyDescent="0.25">
      <c r="B45" s="101"/>
      <c r="C45" s="102"/>
      <c r="D45" s="97"/>
      <c r="E45" s="93"/>
      <c r="F45" s="93"/>
      <c r="G45" s="98"/>
      <c r="H45" s="64"/>
      <c r="I45" s="65"/>
      <c r="J45" s="65"/>
      <c r="K45" s="65"/>
      <c r="L45" s="92"/>
      <c r="M45" s="93"/>
      <c r="N45" s="93"/>
      <c r="O45" s="93"/>
      <c r="P45" s="93"/>
      <c r="Q45" s="93"/>
      <c r="R45" s="93"/>
      <c r="S45" s="93"/>
      <c r="T45" s="94"/>
    </row>
    <row r="46" spans="2:20" ht="15.6" x14ac:dyDescent="0.2">
      <c r="B46" s="101"/>
      <c r="C46" s="102"/>
      <c r="D46" s="58"/>
      <c r="E46" s="59"/>
      <c r="F46" s="59"/>
      <c r="G46" s="60"/>
      <c r="H46" s="64"/>
      <c r="I46" s="65"/>
      <c r="J46" s="65"/>
      <c r="K46" s="65"/>
      <c r="L46" s="59"/>
      <c r="M46" s="59"/>
      <c r="N46" s="59"/>
      <c r="O46" s="59"/>
      <c r="P46" s="59"/>
      <c r="Q46" s="59"/>
      <c r="R46" s="59"/>
      <c r="S46" s="59"/>
      <c r="T46" s="63"/>
    </row>
    <row r="47" spans="2:20" ht="15.6" x14ac:dyDescent="0.2">
      <c r="B47" s="101"/>
      <c r="C47" s="102"/>
      <c r="D47" s="49"/>
      <c r="E47" s="50"/>
      <c r="F47" s="50"/>
      <c r="G47" s="51"/>
      <c r="H47" s="64"/>
      <c r="I47" s="65"/>
      <c r="J47" s="65"/>
      <c r="K47" s="65"/>
      <c r="L47" s="50"/>
      <c r="M47" s="50"/>
      <c r="N47" s="50"/>
      <c r="O47" s="50"/>
      <c r="P47" s="50"/>
      <c r="Q47" s="50"/>
      <c r="R47" s="50"/>
      <c r="S47" s="50"/>
      <c r="T47" s="66"/>
    </row>
    <row r="48" spans="2:20" ht="15.6" x14ac:dyDescent="0.2">
      <c r="B48" s="101"/>
      <c r="C48" s="102"/>
      <c r="D48" s="49"/>
      <c r="E48" s="50"/>
      <c r="F48" s="50"/>
      <c r="G48" s="51"/>
      <c r="H48" s="64"/>
      <c r="I48" s="65"/>
      <c r="J48" s="65"/>
      <c r="K48" s="65"/>
      <c r="L48" s="50"/>
      <c r="M48" s="50"/>
      <c r="N48" s="50"/>
      <c r="O48" s="50"/>
      <c r="P48" s="50"/>
      <c r="Q48" s="50"/>
      <c r="R48" s="50"/>
      <c r="S48" s="50"/>
      <c r="T48" s="66"/>
    </row>
    <row r="49" spans="2:20" ht="15.6" x14ac:dyDescent="0.2">
      <c r="B49" s="101"/>
      <c r="C49" s="102"/>
      <c r="D49" s="71"/>
      <c r="E49" s="72"/>
      <c r="F49" s="72"/>
      <c r="G49" s="73"/>
      <c r="H49" s="64"/>
      <c r="I49" s="65"/>
      <c r="J49" s="65"/>
      <c r="K49" s="65"/>
      <c r="L49" s="72"/>
      <c r="M49" s="72"/>
      <c r="N49" s="72"/>
      <c r="O49" s="72"/>
      <c r="P49" s="72"/>
      <c r="Q49" s="72"/>
      <c r="R49" s="72"/>
      <c r="S49" s="72"/>
      <c r="T49" s="74"/>
    </row>
    <row r="50" spans="2:20" ht="15.6" x14ac:dyDescent="0.2">
      <c r="B50" s="101"/>
      <c r="C50" s="102"/>
      <c r="D50" s="49"/>
      <c r="E50" s="50"/>
      <c r="F50" s="50"/>
      <c r="G50" s="51"/>
      <c r="H50" s="64"/>
      <c r="I50" s="65"/>
      <c r="J50" s="65"/>
      <c r="K50" s="65"/>
      <c r="L50" s="50"/>
      <c r="M50" s="50"/>
      <c r="N50" s="50"/>
      <c r="O50" s="50"/>
      <c r="P50" s="50"/>
      <c r="Q50" s="50"/>
      <c r="R50" s="50"/>
      <c r="S50" s="50"/>
      <c r="T50" s="66"/>
    </row>
    <row r="51" spans="2:20" ht="15.6" x14ac:dyDescent="0.2">
      <c r="B51" s="101"/>
      <c r="C51" s="102"/>
      <c r="D51" s="49"/>
      <c r="E51" s="50"/>
      <c r="F51" s="50"/>
      <c r="G51" s="51"/>
      <c r="H51" s="64"/>
      <c r="I51" s="65"/>
      <c r="J51" s="65"/>
      <c r="K51" s="65"/>
      <c r="L51" s="50"/>
      <c r="M51" s="50"/>
      <c r="N51" s="50"/>
      <c r="O51" s="50"/>
      <c r="P51" s="50"/>
      <c r="Q51" s="50"/>
      <c r="R51" s="50"/>
      <c r="S51" s="50"/>
      <c r="T51" s="66"/>
    </row>
    <row r="52" spans="2:20" ht="15.6" x14ac:dyDescent="0.2">
      <c r="B52" s="101"/>
      <c r="C52" s="102"/>
      <c r="D52" s="49"/>
      <c r="E52" s="50"/>
      <c r="F52" s="50"/>
      <c r="G52" s="51"/>
      <c r="H52" s="64"/>
      <c r="I52" s="65"/>
      <c r="J52" s="65"/>
      <c r="K52" s="65"/>
      <c r="L52" s="50"/>
      <c r="M52" s="50"/>
      <c r="N52" s="50"/>
      <c r="O52" s="50"/>
      <c r="P52" s="50"/>
      <c r="Q52" s="50"/>
      <c r="R52" s="50"/>
      <c r="S52" s="50"/>
      <c r="T52" s="66"/>
    </row>
    <row r="53" spans="2:20" ht="16.350000000000001" thickBot="1" x14ac:dyDescent="0.25">
      <c r="B53" s="101"/>
      <c r="C53" s="102"/>
      <c r="D53" s="109"/>
      <c r="E53" s="110"/>
      <c r="F53" s="110"/>
      <c r="G53" s="111"/>
      <c r="H53" s="64"/>
      <c r="I53" s="65"/>
      <c r="J53" s="65"/>
      <c r="K53" s="65"/>
      <c r="L53" s="69"/>
      <c r="M53" s="69"/>
      <c r="N53" s="69"/>
      <c r="O53" s="69"/>
      <c r="P53" s="69"/>
      <c r="Q53" s="69"/>
      <c r="R53" s="69"/>
      <c r="S53" s="69"/>
      <c r="T53" s="70"/>
    </row>
    <row r="54" spans="2:20" ht="15.6" thickBot="1" x14ac:dyDescent="0.25">
      <c r="B54" s="103"/>
      <c r="C54" s="104"/>
      <c r="D54" s="115">
        <v>45714</v>
      </c>
      <c r="E54" s="116"/>
      <c r="F54" s="116"/>
      <c r="G54" s="116"/>
      <c r="H54" s="78"/>
      <c r="I54" s="78"/>
      <c r="J54" s="78"/>
      <c r="K54" s="78"/>
      <c r="L54" s="79" t="s">
        <v>35</v>
      </c>
      <c r="M54" s="27"/>
      <c r="N54" s="27"/>
      <c r="O54" s="27"/>
      <c r="P54" s="27"/>
      <c r="Q54" s="27"/>
      <c r="R54" s="27"/>
      <c r="S54" s="27"/>
      <c r="T54" s="28"/>
    </row>
    <row r="55" spans="2:20" ht="15.6" x14ac:dyDescent="0.2">
      <c r="B55" s="56" t="s">
        <v>36</v>
      </c>
      <c r="C55" s="57"/>
      <c r="D55" s="112"/>
      <c r="E55" s="113"/>
      <c r="F55" s="113"/>
      <c r="G55" s="114"/>
      <c r="H55" s="61" t="s">
        <v>37</v>
      </c>
      <c r="I55" s="62"/>
      <c r="J55" s="62"/>
      <c r="K55" s="62"/>
      <c r="L55" s="72"/>
      <c r="M55" s="72"/>
      <c r="N55" s="72"/>
      <c r="O55" s="72"/>
      <c r="P55" s="72"/>
      <c r="Q55" s="72"/>
      <c r="R55" s="72"/>
      <c r="S55" s="72"/>
      <c r="T55" s="74"/>
    </row>
    <row r="56" spans="2:20" ht="15.6" x14ac:dyDescent="0.2">
      <c r="B56" s="24"/>
      <c r="C56" s="25"/>
      <c r="D56" s="49"/>
      <c r="E56" s="50"/>
      <c r="F56" s="50"/>
      <c r="G56" s="51"/>
      <c r="H56" s="64"/>
      <c r="I56" s="65"/>
      <c r="J56" s="65"/>
      <c r="K56" s="65"/>
      <c r="L56" s="72"/>
      <c r="M56" s="72"/>
      <c r="N56" s="72"/>
      <c r="O56" s="72"/>
      <c r="P56" s="72"/>
      <c r="Q56" s="72"/>
      <c r="R56" s="72"/>
      <c r="S56" s="72"/>
      <c r="T56" s="74"/>
    </row>
    <row r="57" spans="2:20" ht="15.6" x14ac:dyDescent="0.2">
      <c r="B57" s="24"/>
      <c r="C57" s="25"/>
      <c r="D57" s="49"/>
      <c r="E57" s="50"/>
      <c r="F57" s="50"/>
      <c r="G57" s="51"/>
      <c r="H57" s="64"/>
      <c r="I57" s="65"/>
      <c r="J57" s="65"/>
      <c r="K57" s="65"/>
      <c r="L57" s="72"/>
      <c r="M57" s="72"/>
      <c r="N57" s="72"/>
      <c r="O57" s="72"/>
      <c r="P57" s="72"/>
      <c r="Q57" s="72"/>
      <c r="R57" s="72"/>
      <c r="S57" s="72"/>
      <c r="T57" s="74"/>
    </row>
    <row r="58" spans="2:20" ht="15.6" x14ac:dyDescent="0.2">
      <c r="B58" s="24"/>
      <c r="C58" s="25"/>
      <c r="D58" s="49"/>
      <c r="E58" s="50"/>
      <c r="F58" s="50"/>
      <c r="G58" s="51"/>
      <c r="H58" s="64"/>
      <c r="I58" s="65"/>
      <c r="J58" s="65"/>
      <c r="K58" s="65"/>
      <c r="L58" s="72"/>
      <c r="M58" s="72"/>
      <c r="N58" s="72"/>
      <c r="O58" s="72"/>
      <c r="P58" s="72"/>
      <c r="Q58" s="72"/>
      <c r="R58" s="72"/>
      <c r="S58" s="72"/>
      <c r="T58" s="74"/>
    </row>
    <row r="59" spans="2:20" ht="15.6" x14ac:dyDescent="0.2">
      <c r="B59" s="24"/>
      <c r="C59" s="25"/>
      <c r="D59" s="49"/>
      <c r="E59" s="50"/>
      <c r="F59" s="50"/>
      <c r="G59" s="51"/>
      <c r="H59" s="64"/>
      <c r="I59" s="65"/>
      <c r="J59" s="65"/>
      <c r="K59" s="65"/>
      <c r="L59" s="72"/>
      <c r="M59" s="72"/>
      <c r="N59" s="72"/>
      <c r="O59" s="72"/>
      <c r="P59" s="72"/>
      <c r="Q59" s="72"/>
      <c r="R59" s="72"/>
      <c r="S59" s="72"/>
      <c r="T59" s="74"/>
    </row>
    <row r="60" spans="2:20" ht="15.6" x14ac:dyDescent="0.2">
      <c r="B60" s="24"/>
      <c r="C60" s="25"/>
      <c r="D60" s="49"/>
      <c r="E60" s="50"/>
      <c r="F60" s="50"/>
      <c r="G60" s="51"/>
      <c r="H60" s="64"/>
      <c r="I60" s="65"/>
      <c r="J60" s="65"/>
      <c r="K60" s="65"/>
      <c r="L60" s="72"/>
      <c r="M60" s="72"/>
      <c r="N60" s="72"/>
      <c r="O60" s="72"/>
      <c r="P60" s="72"/>
      <c r="Q60" s="72"/>
      <c r="R60" s="72"/>
      <c r="S60" s="72"/>
      <c r="T60" s="74"/>
    </row>
    <row r="61" spans="2:20" ht="15.6" x14ac:dyDescent="0.2">
      <c r="B61" s="24"/>
      <c r="C61" s="25"/>
      <c r="D61" s="49"/>
      <c r="E61" s="50"/>
      <c r="F61" s="50"/>
      <c r="G61" s="51"/>
      <c r="H61" s="64"/>
      <c r="I61" s="65"/>
      <c r="J61" s="65"/>
      <c r="K61" s="65"/>
      <c r="L61" s="72"/>
      <c r="M61" s="72"/>
      <c r="N61" s="72"/>
      <c r="O61" s="72"/>
      <c r="P61" s="72"/>
      <c r="Q61" s="72"/>
      <c r="R61" s="72"/>
      <c r="S61" s="72"/>
      <c r="T61" s="74"/>
    </row>
    <row r="62" spans="2:20" ht="16.350000000000001" thickBot="1" x14ac:dyDescent="0.25">
      <c r="B62" s="75"/>
      <c r="C62" s="76"/>
      <c r="D62" s="49"/>
      <c r="E62" s="50"/>
      <c r="F62" s="50"/>
      <c r="G62" s="51"/>
      <c r="H62" s="77"/>
      <c r="I62" s="78"/>
      <c r="J62" s="78"/>
      <c r="K62" s="78"/>
      <c r="L62" s="72"/>
      <c r="M62" s="72"/>
      <c r="N62" s="72"/>
      <c r="O62" s="72"/>
      <c r="P62" s="72"/>
      <c r="Q62" s="72"/>
      <c r="R62" s="72"/>
      <c r="S62" s="72"/>
      <c r="T62" s="74"/>
    </row>
    <row r="63" spans="2:20" ht="16.350000000000001" thickBot="1" x14ac:dyDescent="0.3">
      <c r="B63" s="107" t="s">
        <v>38</v>
      </c>
      <c r="C63" s="108"/>
      <c r="D63" s="115"/>
      <c r="E63" s="116"/>
      <c r="F63" s="116"/>
      <c r="G63" s="116"/>
      <c r="H63" s="82" t="s">
        <v>39</v>
      </c>
      <c r="I63" s="16"/>
      <c r="J63" s="16"/>
      <c r="K63" s="16"/>
      <c r="L63" s="115"/>
      <c r="M63" s="116"/>
      <c r="N63" s="116"/>
      <c r="O63" s="116"/>
      <c r="P63" s="80"/>
      <c r="Q63" s="80"/>
      <c r="R63" s="80"/>
      <c r="S63" s="80"/>
      <c r="T63" s="80"/>
    </row>
    <row r="64" spans="2:20" ht="16.350000000000001" thickBot="1" x14ac:dyDescent="0.3">
      <c r="B64" s="80"/>
      <c r="C64" s="80"/>
      <c r="D64" s="80"/>
      <c r="E64" s="80"/>
      <c r="F64" s="80"/>
      <c r="G64" s="80"/>
      <c r="H64" s="80"/>
      <c r="I64" s="80"/>
      <c r="J64" s="80"/>
      <c r="K64" s="80"/>
      <c r="L64" s="80"/>
      <c r="M64" s="80"/>
      <c r="N64" s="80"/>
      <c r="O64" s="80"/>
      <c r="P64" s="80"/>
      <c r="Q64" s="80"/>
      <c r="R64" s="80"/>
      <c r="S64" s="80"/>
      <c r="T64" s="80"/>
    </row>
    <row r="65" spans="1:20" ht="17.100000000000001" thickTop="1" thickBot="1" x14ac:dyDescent="0.3">
      <c r="B65" s="83" t="s">
        <v>40</v>
      </c>
      <c r="C65" s="84"/>
      <c r="D65" s="115"/>
      <c r="E65" s="116"/>
      <c r="F65" s="116"/>
      <c r="G65" s="116"/>
      <c r="H65" s="85"/>
      <c r="I65" s="81"/>
      <c r="J65" s="81"/>
      <c r="K65" s="81"/>
      <c r="L65" s="80"/>
      <c r="M65" s="80"/>
      <c r="N65" s="80"/>
      <c r="O65" s="80"/>
      <c r="P65" s="80"/>
      <c r="Q65" s="80"/>
      <c r="R65" s="80"/>
      <c r="S65" s="80"/>
      <c r="T65" s="80"/>
    </row>
    <row r="66" spans="1:20" ht="11.9" thickTop="1" x14ac:dyDescent="0.2"/>
    <row r="67" spans="1:20" s="87" customFormat="1" x14ac:dyDescent="0.2">
      <c r="A67" s="88" t="s">
        <v>79</v>
      </c>
      <c r="B67" s="88"/>
      <c r="C67" s="88"/>
      <c r="D67" s="88"/>
      <c r="E67" s="88"/>
      <c r="F67" s="88"/>
    </row>
    <row r="68" spans="1:20" s="87" customFormat="1" x14ac:dyDescent="0.2">
      <c r="A68" s="88"/>
      <c r="B68" s="88"/>
      <c r="C68" s="88"/>
      <c r="D68" s="88"/>
      <c r="E68" s="88"/>
      <c r="F68" s="88"/>
    </row>
    <row r="70" spans="1:20" ht="18.600000000000001" customHeight="1" x14ac:dyDescent="0.2">
      <c r="B70" s="132" t="s">
        <v>76</v>
      </c>
      <c r="C70" s="132"/>
      <c r="D70" s="132"/>
      <c r="E70" s="132"/>
      <c r="F70" s="132"/>
      <c r="G70" s="132"/>
      <c r="H70" s="132"/>
      <c r="I70" s="132"/>
      <c r="J70" s="132"/>
      <c r="K70" s="132"/>
      <c r="L70" s="132"/>
      <c r="M70" s="132"/>
      <c r="N70" s="132"/>
      <c r="O70" s="132"/>
      <c r="P70" s="132"/>
      <c r="Q70" s="132"/>
    </row>
    <row r="71" spans="1:20" ht="11.15" customHeight="1" x14ac:dyDescent="0.2">
      <c r="B71" s="132"/>
      <c r="C71" s="132"/>
      <c r="D71" s="132"/>
      <c r="E71" s="132"/>
      <c r="F71" s="132"/>
      <c r="G71" s="132"/>
      <c r="H71" s="132"/>
      <c r="I71" s="132"/>
      <c r="J71" s="132"/>
      <c r="K71" s="132"/>
      <c r="L71" s="132"/>
      <c r="M71" s="132"/>
      <c r="N71" s="132"/>
      <c r="O71" s="132"/>
      <c r="P71" s="132"/>
      <c r="Q71" s="132"/>
    </row>
    <row r="72" spans="1:20" ht="11.15" customHeight="1" x14ac:dyDescent="0.2">
      <c r="B72" s="132"/>
      <c r="C72" s="132"/>
      <c r="D72" s="132"/>
      <c r="E72" s="132"/>
      <c r="F72" s="132"/>
      <c r="G72" s="132"/>
      <c r="H72" s="132"/>
      <c r="I72" s="132"/>
      <c r="J72" s="132"/>
      <c r="K72" s="132"/>
      <c r="L72" s="132"/>
      <c r="M72" s="132"/>
      <c r="N72" s="132"/>
      <c r="O72" s="132"/>
      <c r="P72" s="132"/>
      <c r="Q72" s="132"/>
    </row>
    <row r="73" spans="1:20" ht="14.85" customHeight="1" x14ac:dyDescent="0.2">
      <c r="B73" s="132"/>
      <c r="C73" s="132"/>
      <c r="D73" s="132"/>
      <c r="E73" s="132"/>
      <c r="F73" s="132"/>
      <c r="G73" s="132"/>
      <c r="H73" s="132"/>
      <c r="I73" s="132"/>
      <c r="J73" s="132"/>
      <c r="K73" s="132"/>
      <c r="L73" s="132"/>
      <c r="M73" s="132"/>
      <c r="N73" s="132"/>
      <c r="O73" s="132"/>
      <c r="P73" s="132"/>
      <c r="Q73" s="132"/>
    </row>
    <row r="74" spans="1:20" ht="14.85" customHeight="1" x14ac:dyDescent="0.2">
      <c r="B74" s="132"/>
      <c r="C74" s="132"/>
      <c r="D74" s="132"/>
      <c r="E74" s="132"/>
      <c r="F74" s="132"/>
      <c r="G74" s="132"/>
      <c r="H74" s="132"/>
      <c r="I74" s="132"/>
      <c r="J74" s="132"/>
      <c r="K74" s="132"/>
      <c r="L74" s="132"/>
      <c r="M74" s="132"/>
      <c r="N74" s="132"/>
      <c r="O74" s="132"/>
      <c r="P74" s="132"/>
      <c r="Q74" s="132"/>
    </row>
    <row r="75" spans="1:20" ht="14.85" customHeight="1" x14ac:dyDescent="0.2">
      <c r="B75" s="132"/>
      <c r="C75" s="132"/>
      <c r="D75" s="132"/>
      <c r="E75" s="132"/>
      <c r="F75" s="132"/>
      <c r="G75" s="132"/>
      <c r="H75" s="132"/>
      <c r="I75" s="132"/>
      <c r="J75" s="132"/>
      <c r="K75" s="132"/>
      <c r="L75" s="132"/>
      <c r="M75" s="132"/>
      <c r="N75" s="132"/>
      <c r="O75" s="132"/>
      <c r="P75" s="132"/>
      <c r="Q75" s="132"/>
    </row>
    <row r="76" spans="1:20" ht="14.85" customHeight="1" x14ac:dyDescent="0.2">
      <c r="B76" s="132"/>
      <c r="C76" s="132"/>
      <c r="D76" s="132"/>
      <c r="E76" s="132"/>
      <c r="F76" s="132"/>
      <c r="G76" s="132"/>
      <c r="H76" s="132"/>
      <c r="I76" s="132"/>
      <c r="J76" s="132"/>
      <c r="K76" s="132"/>
      <c r="L76" s="132"/>
      <c r="M76" s="132"/>
      <c r="N76" s="132"/>
      <c r="O76" s="132"/>
      <c r="P76" s="132"/>
      <c r="Q76" s="132"/>
    </row>
    <row r="77" spans="1:20" ht="25.25" customHeight="1" x14ac:dyDescent="0.2">
      <c r="B77" s="132"/>
      <c r="C77" s="132"/>
      <c r="D77" s="132"/>
      <c r="E77" s="132"/>
      <c r="F77" s="132"/>
      <c r="G77" s="132"/>
      <c r="H77" s="132"/>
      <c r="I77" s="132"/>
      <c r="J77" s="132"/>
      <c r="K77" s="132"/>
      <c r="L77" s="132"/>
      <c r="M77" s="132"/>
      <c r="N77" s="132"/>
      <c r="O77" s="132"/>
      <c r="P77" s="132"/>
      <c r="Q77" s="132"/>
    </row>
    <row r="78" spans="1:20" ht="25.25" customHeight="1" thickBot="1" x14ac:dyDescent="0.25"/>
    <row r="79" spans="1:20" ht="60.9" customHeight="1" thickBot="1" x14ac:dyDescent="0.25">
      <c r="D79" s="133" t="s">
        <v>77</v>
      </c>
      <c r="E79" s="133"/>
      <c r="F79" s="134">
        <f>COUNTIF(F83:F96,"YES")/(COUNTA($B$83:$B$96)-COUNTIF($B$83:$B$96,"N/A"))</f>
        <v>0.7857142857142857</v>
      </c>
    </row>
    <row r="80" spans="1:20" ht="19.3" customHeight="1" x14ac:dyDescent="0.2"/>
    <row r="81" spans="2:6" ht="68.3" customHeight="1" x14ac:dyDescent="0.2">
      <c r="B81" s="117" t="s">
        <v>42</v>
      </c>
      <c r="C81" s="118" t="s">
        <v>75</v>
      </c>
      <c r="D81" s="119"/>
      <c r="E81" s="119"/>
      <c r="F81" s="120"/>
    </row>
    <row r="82" spans="2:6" ht="28.2" customHeight="1" x14ac:dyDescent="0.2">
      <c r="B82" s="121" t="s">
        <v>43</v>
      </c>
      <c r="C82" s="121" t="s">
        <v>44</v>
      </c>
      <c r="D82" s="122" t="s">
        <v>45</v>
      </c>
      <c r="E82" s="123"/>
      <c r="F82" s="121" t="s">
        <v>46</v>
      </c>
    </row>
    <row r="83" spans="2:6" ht="63.85" customHeight="1" x14ac:dyDescent="0.2">
      <c r="B83" s="124" t="s">
        <v>47</v>
      </c>
      <c r="C83" s="125" t="s">
        <v>48</v>
      </c>
      <c r="D83" s="126"/>
      <c r="E83" s="127"/>
      <c r="F83" s="128" t="s">
        <v>49</v>
      </c>
    </row>
    <row r="84" spans="2:6" ht="163.30000000000001" customHeight="1" x14ac:dyDescent="0.2">
      <c r="B84" s="124" t="s">
        <v>50</v>
      </c>
      <c r="C84" s="125" t="s">
        <v>51</v>
      </c>
      <c r="D84" s="126"/>
      <c r="E84" s="127"/>
      <c r="F84" s="128" t="s">
        <v>49</v>
      </c>
    </row>
    <row r="85" spans="2:6" ht="77.2" customHeight="1" x14ac:dyDescent="0.2">
      <c r="B85" s="124" t="s">
        <v>50</v>
      </c>
      <c r="C85" s="125" t="s">
        <v>52</v>
      </c>
      <c r="D85" s="126"/>
      <c r="E85" s="127"/>
      <c r="F85" s="128" t="s">
        <v>49</v>
      </c>
    </row>
    <row r="86" spans="2:6" ht="69.8" customHeight="1" x14ac:dyDescent="0.2">
      <c r="B86" s="124" t="s">
        <v>53</v>
      </c>
      <c r="C86" s="125" t="s">
        <v>54</v>
      </c>
      <c r="D86" s="126"/>
      <c r="E86" s="127"/>
      <c r="F86" s="128" t="s">
        <v>55</v>
      </c>
    </row>
    <row r="87" spans="2:6" ht="63.85" customHeight="1" x14ac:dyDescent="0.2">
      <c r="B87" s="124" t="s">
        <v>56</v>
      </c>
      <c r="C87" s="125" t="s">
        <v>57</v>
      </c>
      <c r="D87" s="126"/>
      <c r="E87" s="127"/>
      <c r="F87" s="128" t="s">
        <v>49</v>
      </c>
    </row>
    <row r="88" spans="2:6" ht="151.44999999999999" customHeight="1" x14ac:dyDescent="0.2">
      <c r="B88" s="124" t="s">
        <v>58</v>
      </c>
      <c r="C88" s="125" t="s">
        <v>59</v>
      </c>
      <c r="D88" s="126"/>
      <c r="E88" s="127"/>
      <c r="F88" s="128" t="s">
        <v>49</v>
      </c>
    </row>
    <row r="89" spans="2:6" ht="115.8" customHeight="1" x14ac:dyDescent="0.2">
      <c r="B89" s="124" t="s">
        <v>60</v>
      </c>
      <c r="C89" s="125" t="s">
        <v>61</v>
      </c>
      <c r="D89" s="126"/>
      <c r="E89" s="127"/>
      <c r="F89" s="128" t="s">
        <v>49</v>
      </c>
    </row>
    <row r="90" spans="2:6" ht="117.3" customHeight="1" x14ac:dyDescent="0.2">
      <c r="B90" s="124" t="s">
        <v>53</v>
      </c>
      <c r="C90" s="125" t="s">
        <v>62</v>
      </c>
      <c r="D90" s="126"/>
      <c r="E90" s="127"/>
      <c r="F90" s="128" t="s">
        <v>49</v>
      </c>
    </row>
    <row r="91" spans="2:6" ht="121" customHeight="1" x14ac:dyDescent="0.2">
      <c r="B91" s="124" t="s">
        <v>53</v>
      </c>
      <c r="C91" s="125" t="s">
        <v>63</v>
      </c>
      <c r="D91" s="126"/>
      <c r="E91" s="127"/>
      <c r="F91" s="128" t="s">
        <v>55</v>
      </c>
    </row>
    <row r="92" spans="2:6" ht="149.19999999999999" customHeight="1" x14ac:dyDescent="0.2">
      <c r="B92" s="124" t="s">
        <v>64</v>
      </c>
      <c r="C92" s="125" t="s">
        <v>65</v>
      </c>
      <c r="D92" s="126"/>
      <c r="E92" s="127"/>
      <c r="F92" s="128" t="s">
        <v>49</v>
      </c>
    </row>
    <row r="93" spans="2:6" ht="78.7" customHeight="1" x14ac:dyDescent="0.2">
      <c r="B93" s="124" t="s">
        <v>53</v>
      </c>
      <c r="C93" s="125" t="s">
        <v>66</v>
      </c>
      <c r="D93" s="126"/>
      <c r="E93" s="127"/>
      <c r="F93" s="128" t="s">
        <v>49</v>
      </c>
    </row>
    <row r="94" spans="2:6" ht="103.95" x14ac:dyDescent="0.2">
      <c r="B94" s="124" t="s">
        <v>67</v>
      </c>
      <c r="C94" s="125" t="s">
        <v>68</v>
      </c>
      <c r="D94" s="126"/>
      <c r="E94" s="127"/>
      <c r="F94" s="128" t="s">
        <v>55</v>
      </c>
    </row>
    <row r="95" spans="2:6" ht="48.25" customHeight="1" x14ac:dyDescent="0.2">
      <c r="B95" s="124" t="s">
        <v>69</v>
      </c>
      <c r="C95" s="125" t="s">
        <v>70</v>
      </c>
      <c r="D95" s="126"/>
      <c r="E95" s="127"/>
      <c r="F95" s="128" t="s">
        <v>49</v>
      </c>
    </row>
    <row r="96" spans="2:6" ht="230.1" customHeight="1" x14ac:dyDescent="0.2">
      <c r="B96" s="124" t="s">
        <v>56</v>
      </c>
      <c r="C96" s="125" t="s">
        <v>71</v>
      </c>
      <c r="D96" s="126"/>
      <c r="E96" s="127"/>
      <c r="F96" s="128" t="s">
        <v>49</v>
      </c>
    </row>
    <row r="97" spans="1:12" ht="14.85" x14ac:dyDescent="0.2">
      <c r="B97" s="130"/>
      <c r="C97" s="130"/>
      <c r="D97" s="130"/>
      <c r="E97" s="130"/>
      <c r="F97" s="130"/>
    </row>
    <row r="98" spans="1:12" ht="54.2" customHeight="1" x14ac:dyDescent="0.2">
      <c r="B98" s="131" t="s">
        <v>72</v>
      </c>
      <c r="C98" s="135" t="s">
        <v>73</v>
      </c>
      <c r="D98" s="136"/>
      <c r="E98" s="136"/>
      <c r="F98" s="136"/>
      <c r="G98" s="136"/>
      <c r="H98" s="136"/>
      <c r="I98" s="136"/>
      <c r="J98" s="136"/>
      <c r="K98" s="136"/>
      <c r="L98" s="136"/>
    </row>
    <row r="99" spans="1:12" ht="51.25" customHeight="1" x14ac:dyDescent="0.2">
      <c r="B99" s="129"/>
      <c r="C99" s="135" t="s">
        <v>74</v>
      </c>
      <c r="D99" s="136"/>
      <c r="E99" s="136"/>
      <c r="F99" s="136"/>
      <c r="G99" s="136"/>
      <c r="H99" s="136"/>
      <c r="I99" s="136"/>
      <c r="J99" s="136"/>
      <c r="K99" s="136"/>
      <c r="L99" s="136"/>
    </row>
    <row r="102" spans="1:12" s="87" customFormat="1" ht="17.100000000000001" customHeight="1" x14ac:dyDescent="0.2">
      <c r="A102" s="137" t="s">
        <v>80</v>
      </c>
      <c r="B102" s="137"/>
      <c r="C102" s="137"/>
      <c r="D102" s="137"/>
      <c r="E102" s="137"/>
      <c r="F102" s="137"/>
    </row>
    <row r="103" spans="1:12" s="87" customFormat="1" ht="11.9" customHeight="1" x14ac:dyDescent="0.2">
      <c r="A103" s="137"/>
      <c r="B103" s="137"/>
      <c r="C103" s="137"/>
      <c r="D103" s="137"/>
      <c r="E103" s="137"/>
      <c r="F103" s="137"/>
    </row>
    <row r="106" spans="1:12" ht="33.4" customHeight="1" x14ac:dyDescent="0.2">
      <c r="B106" s="140" t="s">
        <v>81</v>
      </c>
      <c r="C106" s="140"/>
      <c r="D106" s="140"/>
      <c r="E106" s="140"/>
      <c r="F106" s="140"/>
      <c r="G106" s="138"/>
      <c r="H106" s="138"/>
    </row>
    <row r="107" spans="1:12" ht="11.15" customHeight="1" x14ac:dyDescent="0.2">
      <c r="B107" s="140"/>
      <c r="C107" s="140"/>
      <c r="D107" s="140"/>
      <c r="E107" s="140"/>
      <c r="F107" s="140"/>
      <c r="G107" s="138"/>
      <c r="H107" s="138"/>
    </row>
    <row r="108" spans="1:12" ht="11.15" customHeight="1" x14ac:dyDescent="0.2">
      <c r="B108" s="140"/>
      <c r="C108" s="140"/>
      <c r="D108" s="140"/>
      <c r="E108" s="140"/>
      <c r="F108" s="140"/>
      <c r="G108" s="138"/>
      <c r="H108" s="138"/>
    </row>
    <row r="109" spans="1:12" ht="11.15" customHeight="1" x14ac:dyDescent="0.2">
      <c r="B109" s="140"/>
      <c r="C109" s="140"/>
      <c r="D109" s="140"/>
      <c r="E109" s="140"/>
      <c r="F109" s="140"/>
    </row>
    <row r="111" spans="1:12" ht="11.9" x14ac:dyDescent="0.2">
      <c r="B111" s="142" t="s">
        <v>82</v>
      </c>
    </row>
    <row r="112" spans="1:12" x14ac:dyDescent="0.2">
      <c r="B112" s="141"/>
      <c r="C112" s="141"/>
      <c r="D112" s="141"/>
      <c r="E112" s="141"/>
      <c r="F112" s="141"/>
      <c r="G112" s="141"/>
      <c r="H112" s="141"/>
    </row>
    <row r="113" spans="2:8" x14ac:dyDescent="0.2">
      <c r="B113" s="141"/>
      <c r="C113" s="141"/>
      <c r="D113" s="141"/>
      <c r="E113" s="141"/>
      <c r="F113" s="141"/>
      <c r="G113" s="141"/>
      <c r="H113" s="141"/>
    </row>
    <row r="114" spans="2:8" x14ac:dyDescent="0.2">
      <c r="B114" s="141"/>
      <c r="C114" s="141"/>
      <c r="D114" s="141"/>
      <c r="E114" s="141"/>
      <c r="F114" s="141"/>
      <c r="G114" s="141"/>
      <c r="H114" s="141"/>
    </row>
    <row r="116" spans="2:8" ht="15.6" x14ac:dyDescent="0.2">
      <c r="B116" s="143" t="s">
        <v>83</v>
      </c>
      <c r="C116" s="144" t="s">
        <v>84</v>
      </c>
      <c r="D116" s="145" t="s">
        <v>85</v>
      </c>
    </row>
    <row r="117" spans="2:8" ht="14.85" x14ac:dyDescent="0.2">
      <c r="B117" s="146" t="s">
        <v>86</v>
      </c>
      <c r="C117" s="147">
        <v>2.1</v>
      </c>
      <c r="D117" s="147">
        <v>2.59</v>
      </c>
    </row>
    <row r="118" spans="2:8" ht="14.85" x14ac:dyDescent="0.2">
      <c r="B118" s="148" t="s">
        <v>87</v>
      </c>
      <c r="C118" s="147">
        <v>2.1</v>
      </c>
      <c r="D118" s="149">
        <v>2.58</v>
      </c>
    </row>
    <row r="119" spans="2:8" ht="14.85" x14ac:dyDescent="0.2">
      <c r="B119" s="146" t="s">
        <v>88</v>
      </c>
      <c r="C119" s="147">
        <v>2.1</v>
      </c>
      <c r="D119" s="149">
        <v>2.58</v>
      </c>
    </row>
    <row r="120" spans="2:8" ht="14.85" x14ac:dyDescent="0.2">
      <c r="B120" s="148" t="s">
        <v>89</v>
      </c>
      <c r="C120" s="147">
        <v>2.1</v>
      </c>
      <c r="D120" s="149">
        <v>2.57</v>
      </c>
    </row>
    <row r="121" spans="2:8" ht="14.85" x14ac:dyDescent="0.2">
      <c r="B121" s="146" t="s">
        <v>90</v>
      </c>
      <c r="C121" s="147">
        <v>2.1</v>
      </c>
      <c r="D121" s="149">
        <v>2.4700000000000002</v>
      </c>
    </row>
    <row r="122" spans="2:8" ht="14.85" x14ac:dyDescent="0.2">
      <c r="B122" s="148" t="s">
        <v>91</v>
      </c>
      <c r="C122" s="147">
        <v>2.1</v>
      </c>
      <c r="D122" s="150"/>
    </row>
    <row r="123" spans="2:8" ht="14.85" x14ac:dyDescent="0.2">
      <c r="B123" s="146" t="s">
        <v>92</v>
      </c>
      <c r="C123" s="147">
        <v>2.1</v>
      </c>
      <c r="D123" s="149"/>
    </row>
    <row r="124" spans="2:8" ht="14.85" x14ac:dyDescent="0.2">
      <c r="B124" s="148" t="s">
        <v>93</v>
      </c>
      <c r="C124" s="147">
        <v>2.1</v>
      </c>
      <c r="D124" s="149"/>
    </row>
    <row r="125" spans="2:8" ht="14.85" x14ac:dyDescent="0.2">
      <c r="B125" s="146" t="s">
        <v>94</v>
      </c>
      <c r="C125" s="147">
        <v>2.1</v>
      </c>
      <c r="D125" s="149"/>
    </row>
    <row r="126" spans="2:8" ht="14.85" x14ac:dyDescent="0.2">
      <c r="B126" s="148" t="s">
        <v>95</v>
      </c>
      <c r="C126" s="147">
        <v>2.1</v>
      </c>
      <c r="D126" s="149"/>
    </row>
    <row r="127" spans="2:8" ht="14.85" x14ac:dyDescent="0.2">
      <c r="B127" s="146" t="s">
        <v>96</v>
      </c>
      <c r="C127" s="147">
        <v>2.1</v>
      </c>
      <c r="D127" s="149"/>
    </row>
    <row r="128" spans="2:8" ht="14.85" x14ac:dyDescent="0.2">
      <c r="B128" s="146" t="s">
        <v>97</v>
      </c>
      <c r="C128" s="147">
        <v>2.1</v>
      </c>
      <c r="D128" s="149"/>
    </row>
    <row r="129" spans="1:6" ht="15.6" x14ac:dyDescent="0.2">
      <c r="B129" s="151" t="s">
        <v>98</v>
      </c>
      <c r="C129" s="147">
        <f>AVERAGE(C117:C128)</f>
        <v>2.1000000000000005</v>
      </c>
      <c r="D129" s="152"/>
    </row>
    <row r="130" spans="1:6" ht="15.6" x14ac:dyDescent="0.2">
      <c r="B130" s="153" t="s">
        <v>99</v>
      </c>
      <c r="C130" s="152"/>
      <c r="D130" s="154">
        <f>AVERAGE(D117:D128)</f>
        <v>2.5580000000000003</v>
      </c>
    </row>
    <row r="135" spans="1:6" s="87" customFormat="1" x14ac:dyDescent="0.2">
      <c r="A135" s="137" t="s">
        <v>100</v>
      </c>
      <c r="B135" s="137"/>
      <c r="C135" s="137"/>
      <c r="D135" s="137"/>
      <c r="E135" s="137"/>
      <c r="F135" s="137"/>
    </row>
    <row r="136" spans="1:6" s="87" customFormat="1" x14ac:dyDescent="0.2">
      <c r="A136" s="137"/>
      <c r="B136" s="137"/>
      <c r="C136" s="137"/>
      <c r="D136" s="137"/>
      <c r="E136" s="137"/>
      <c r="F136" s="137"/>
    </row>
    <row r="138" spans="1:6" x14ac:dyDescent="0.2">
      <c r="B138" t="s">
        <v>101</v>
      </c>
    </row>
    <row r="142" spans="1:6" s="87" customFormat="1" x14ac:dyDescent="0.2">
      <c r="A142" s="137" t="s">
        <v>102</v>
      </c>
      <c r="B142" s="137"/>
      <c r="C142" s="137"/>
      <c r="D142" s="137"/>
      <c r="E142" s="137"/>
      <c r="F142" s="137"/>
    </row>
    <row r="143" spans="1:6" s="87" customFormat="1" x14ac:dyDescent="0.2">
      <c r="A143" s="137"/>
      <c r="B143" s="137"/>
      <c r="C143" s="137"/>
      <c r="D143" s="137"/>
      <c r="E143" s="137"/>
      <c r="F143" s="137"/>
    </row>
    <row r="146" spans="2:12" ht="18.600000000000001" customHeight="1" x14ac:dyDescent="0.2">
      <c r="B146" s="139" t="s">
        <v>103</v>
      </c>
      <c r="C146" s="139"/>
      <c r="D146" s="139"/>
      <c r="E146" s="139"/>
      <c r="F146" s="139"/>
      <c r="G146" s="139"/>
      <c r="H146" s="139"/>
      <c r="I146" s="139"/>
      <c r="J146" s="139"/>
      <c r="K146" s="139"/>
      <c r="L146" s="139"/>
    </row>
    <row r="147" spans="2:12" ht="11.15" customHeight="1" x14ac:dyDescent="0.2">
      <c r="B147" s="139"/>
      <c r="C147" s="139"/>
      <c r="D147" s="139"/>
      <c r="E147" s="139"/>
      <c r="F147" s="139"/>
      <c r="G147" s="139"/>
      <c r="H147" s="139"/>
      <c r="I147" s="139"/>
      <c r="J147" s="139"/>
      <c r="K147" s="139"/>
      <c r="L147" s="139"/>
    </row>
    <row r="148" spans="2:12" ht="11.15" customHeight="1" x14ac:dyDescent="0.2">
      <c r="B148" s="139"/>
      <c r="C148" s="139"/>
      <c r="D148" s="139"/>
      <c r="E148" s="139"/>
      <c r="F148" s="139"/>
      <c r="G148" s="139"/>
      <c r="H148" s="139"/>
      <c r="I148" s="139"/>
      <c r="J148" s="139"/>
      <c r="K148" s="139"/>
      <c r="L148" s="139"/>
    </row>
    <row r="149" spans="2:12" ht="11.15" customHeight="1" x14ac:dyDescent="0.2">
      <c r="B149" s="139"/>
      <c r="C149" s="139"/>
      <c r="D149" s="139"/>
      <c r="E149" s="139"/>
      <c r="F149" s="139"/>
      <c r="G149" s="139"/>
      <c r="H149" s="139"/>
      <c r="I149" s="139"/>
      <c r="J149" s="139"/>
      <c r="K149" s="139"/>
      <c r="L149" s="139"/>
    </row>
    <row r="150" spans="2:12" ht="40.85" customHeight="1" x14ac:dyDescent="0.2">
      <c r="B150" s="139"/>
      <c r="C150" s="139"/>
      <c r="D150" s="139"/>
      <c r="E150" s="139"/>
      <c r="F150" s="139"/>
      <c r="G150" s="139"/>
      <c r="H150" s="139"/>
      <c r="I150" s="139"/>
      <c r="J150" s="139"/>
      <c r="K150" s="139"/>
      <c r="L150" s="139"/>
    </row>
    <row r="153" spans="2:12" ht="30.45" thickBot="1" x14ac:dyDescent="0.25">
      <c r="B153" s="155" t="s">
        <v>104</v>
      </c>
      <c r="C153" s="156" t="s">
        <v>105</v>
      </c>
      <c r="D153" s="157" t="s">
        <v>106</v>
      </c>
      <c r="E153" s="157" t="s">
        <v>84</v>
      </c>
      <c r="F153" s="158" t="s">
        <v>107</v>
      </c>
      <c r="G153" s="159" t="s">
        <v>108</v>
      </c>
    </row>
    <row r="154" spans="2:12" ht="15.6" thickBot="1" x14ac:dyDescent="0.25">
      <c r="B154" s="160" t="s">
        <v>109</v>
      </c>
      <c r="C154" s="161" t="s">
        <v>110</v>
      </c>
      <c r="D154" s="162">
        <v>7.0000000000000007E-2</v>
      </c>
      <c r="E154" s="163">
        <v>2.48</v>
      </c>
      <c r="F154" s="164">
        <f>E154/$E$161</f>
        <v>2.4799999999999999E-2</v>
      </c>
      <c r="G154" s="165">
        <f>F154</f>
        <v>2.4799999999999999E-2</v>
      </c>
    </row>
    <row r="155" spans="2:12" ht="15.6" thickBot="1" x14ac:dyDescent="0.25">
      <c r="B155" s="160" t="s">
        <v>111</v>
      </c>
      <c r="C155" s="166" t="s">
        <v>112</v>
      </c>
      <c r="D155" s="162">
        <v>2.1</v>
      </c>
      <c r="E155" s="163">
        <v>74.47</v>
      </c>
      <c r="F155" s="164">
        <f t="shared" ref="F155:F160" si="0">E155/$E$161</f>
        <v>0.74470000000000003</v>
      </c>
      <c r="G155" s="165">
        <f>F155+G154</f>
        <v>0.76950000000000007</v>
      </c>
    </row>
    <row r="156" spans="2:12" ht="15.6" thickBot="1" x14ac:dyDescent="0.25">
      <c r="B156" s="160" t="s">
        <v>113</v>
      </c>
      <c r="C156" s="167" t="s">
        <v>114</v>
      </c>
      <c r="D156" s="162">
        <v>0.65</v>
      </c>
      <c r="E156" s="163">
        <v>23.05</v>
      </c>
      <c r="F156" s="164">
        <f t="shared" si="0"/>
        <v>0.23050000000000001</v>
      </c>
      <c r="G156" s="165">
        <f>F156+G155</f>
        <v>1</v>
      </c>
    </row>
    <row r="157" spans="2:12" ht="15.6" thickBot="1" x14ac:dyDescent="0.25">
      <c r="B157" s="160"/>
      <c r="C157" s="167"/>
      <c r="D157" s="162"/>
      <c r="E157" s="163"/>
      <c r="F157" s="164">
        <f t="shared" si="0"/>
        <v>0</v>
      </c>
      <c r="G157" s="165">
        <f t="shared" ref="G155:G160" si="1">F157+G156</f>
        <v>1</v>
      </c>
    </row>
    <row r="158" spans="2:12" ht="15.6" thickBot="1" x14ac:dyDescent="0.25">
      <c r="B158" s="160"/>
      <c r="C158" s="167"/>
      <c r="D158" s="162"/>
      <c r="E158" s="163"/>
      <c r="F158" s="164">
        <f t="shared" si="0"/>
        <v>0</v>
      </c>
      <c r="G158" s="165">
        <f t="shared" si="1"/>
        <v>1</v>
      </c>
    </row>
    <row r="159" spans="2:12" ht="15.6" thickBot="1" x14ac:dyDescent="0.25">
      <c r="B159" s="160"/>
      <c r="C159" s="166"/>
      <c r="D159" s="163"/>
      <c r="E159" s="163"/>
      <c r="F159" s="164">
        <f t="shared" si="0"/>
        <v>0</v>
      </c>
      <c r="G159" s="165">
        <f t="shared" si="1"/>
        <v>1</v>
      </c>
    </row>
    <row r="160" spans="2:12" ht="15.6" thickBot="1" x14ac:dyDescent="0.25">
      <c r="B160" s="160"/>
      <c r="C160" s="166"/>
      <c r="D160" s="163"/>
      <c r="E160" s="163"/>
      <c r="F160" s="164">
        <f t="shared" si="0"/>
        <v>0</v>
      </c>
      <c r="G160" s="165">
        <f t="shared" si="1"/>
        <v>1</v>
      </c>
    </row>
    <row r="161" spans="1:23" ht="15.6" thickBot="1" x14ac:dyDescent="0.25">
      <c r="B161" s="155" t="s">
        <v>115</v>
      </c>
      <c r="C161" s="155" t="s">
        <v>116</v>
      </c>
      <c r="D161" s="168">
        <f>SUM(D154:D155)</f>
        <v>2.17</v>
      </c>
      <c r="E161" s="168">
        <f>SUM(E154:E156)</f>
        <v>100</v>
      </c>
      <c r="F161" s="169">
        <f>SUM(F154:F156)</f>
        <v>1</v>
      </c>
      <c r="G161" s="169">
        <f>G156</f>
        <v>1</v>
      </c>
    </row>
    <row r="170" spans="1:23" s="87" customFormat="1" x14ac:dyDescent="0.2">
      <c r="A170" s="137" t="s">
        <v>117</v>
      </c>
      <c r="B170" s="137"/>
      <c r="C170" s="137"/>
      <c r="D170" s="137"/>
      <c r="E170" s="137"/>
      <c r="F170" s="137"/>
    </row>
    <row r="171" spans="1:23" s="87" customFormat="1" x14ac:dyDescent="0.2">
      <c r="A171" s="137"/>
      <c r="B171" s="137"/>
      <c r="C171" s="137"/>
      <c r="D171" s="137"/>
      <c r="E171" s="137"/>
      <c r="F171" s="137"/>
    </row>
    <row r="174" spans="1:23" ht="11.15" customHeight="1" x14ac:dyDescent="0.2">
      <c r="B174" s="140" t="s">
        <v>118</v>
      </c>
      <c r="C174" s="140"/>
      <c r="D174" s="140"/>
      <c r="E174" s="140"/>
      <c r="F174" s="140"/>
      <c r="G174" s="140"/>
      <c r="H174" s="140"/>
      <c r="I174" s="140"/>
      <c r="J174" s="140"/>
      <c r="K174" s="140"/>
      <c r="L174" s="140"/>
      <c r="M174" s="140"/>
      <c r="N174" s="140"/>
      <c r="O174" s="140"/>
      <c r="P174" s="140"/>
      <c r="Q174" s="140"/>
      <c r="R174" s="140"/>
      <c r="S174" s="140"/>
      <c r="T174" s="140"/>
      <c r="U174" s="140"/>
      <c r="V174" s="140"/>
      <c r="W174" s="140"/>
    </row>
    <row r="175" spans="1:23" ht="11.15" customHeight="1" x14ac:dyDescent="0.2">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row>
    <row r="176" spans="1:23" ht="11.15" customHeight="1" x14ac:dyDescent="0.2">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row>
    <row r="177" spans="2:23" ht="11.15" customHeight="1" x14ac:dyDescent="0.2">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row>
    <row r="178" spans="2:23" ht="11.15" customHeight="1" x14ac:dyDescent="0.2">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row>
    <row r="179" spans="2:23" ht="11.15" customHeight="1" x14ac:dyDescent="0.2">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row>
    <row r="180" spans="2:23" ht="11.15" customHeight="1" x14ac:dyDescent="0.2">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row>
    <row r="181" spans="2:23" ht="39.35" customHeight="1" x14ac:dyDescent="0.2">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row>
    <row r="197" spans="13:17" ht="9.65" customHeight="1" x14ac:dyDescent="0.2">
      <c r="M197" s="177" t="s">
        <v>119</v>
      </c>
      <c r="N197" s="178"/>
      <c r="O197" s="178"/>
      <c r="P197" s="178"/>
      <c r="Q197" s="179"/>
    </row>
    <row r="198" spans="13:17" x14ac:dyDescent="0.2">
      <c r="M198" s="180"/>
      <c r="N198" s="175"/>
      <c r="O198" s="175"/>
      <c r="P198" s="175"/>
      <c r="Q198" s="181"/>
    </row>
    <row r="199" spans="13:17" x14ac:dyDescent="0.2">
      <c r="M199" s="182"/>
      <c r="N199" s="183"/>
      <c r="O199" s="183"/>
      <c r="P199" s="183"/>
      <c r="Q199" s="184"/>
    </row>
    <row r="200" spans="13:17" ht="11.15" customHeight="1" x14ac:dyDescent="0.2">
      <c r="M200" s="190" t="s">
        <v>120</v>
      </c>
      <c r="N200" s="191"/>
      <c r="O200" s="191"/>
      <c r="P200" s="191"/>
      <c r="Q200" s="192"/>
    </row>
    <row r="201" spans="13:17" ht="11.9" customHeight="1" x14ac:dyDescent="0.2">
      <c r="M201" s="185"/>
      <c r="N201" s="176"/>
      <c r="O201" s="176"/>
      <c r="P201" s="176"/>
      <c r="Q201" s="186"/>
    </row>
    <row r="202" spans="13:17" x14ac:dyDescent="0.2">
      <c r="M202" s="185"/>
      <c r="N202" s="176"/>
      <c r="O202" s="176"/>
      <c r="P202" s="176"/>
      <c r="Q202" s="186"/>
    </row>
    <row r="203" spans="13:17" x14ac:dyDescent="0.2">
      <c r="M203" s="187"/>
      <c r="N203" s="188"/>
      <c r="O203" s="188"/>
      <c r="P203" s="188"/>
      <c r="Q203" s="189"/>
    </row>
    <row r="221" spans="2:27" ht="12.65" x14ac:dyDescent="0.2">
      <c r="B221" s="172"/>
      <c r="C221" s="172"/>
      <c r="D221" s="172"/>
      <c r="E221" s="172"/>
      <c r="F221" s="170"/>
      <c r="G221" s="170"/>
      <c r="H221" s="170"/>
      <c r="I221" s="172"/>
      <c r="J221" s="170"/>
      <c r="K221" s="170"/>
      <c r="L221" s="172"/>
      <c r="M221" s="172"/>
      <c r="N221" s="170"/>
      <c r="O221" s="170"/>
      <c r="P221" s="172"/>
      <c r="Q221" s="173"/>
      <c r="R221" s="173"/>
      <c r="S221" s="173"/>
      <c r="T221" s="173"/>
      <c r="U221" s="173"/>
      <c r="V221" s="172"/>
      <c r="W221" s="172"/>
      <c r="X221" s="172"/>
      <c r="Y221" s="172"/>
      <c r="Z221" s="172"/>
      <c r="AA221" s="172"/>
    </row>
    <row r="222" spans="2:27" ht="12.65" x14ac:dyDescent="0.2">
      <c r="B222" s="193" t="s">
        <v>121</v>
      </c>
      <c r="C222" s="193"/>
      <c r="D222" s="193"/>
      <c r="E222" s="193"/>
      <c r="F222" s="193"/>
      <c r="G222" s="193"/>
      <c r="H222" s="193"/>
      <c r="I222" s="193"/>
      <c r="J222" s="193"/>
      <c r="K222" s="193"/>
      <c r="L222" s="193"/>
      <c r="M222" s="194"/>
      <c r="N222" s="174"/>
      <c r="O222" s="174"/>
      <c r="P222" s="171"/>
      <c r="Q222" s="173"/>
      <c r="R222" s="173"/>
      <c r="S222" s="172"/>
      <c r="T222" s="172"/>
      <c r="U222" s="172"/>
      <c r="V222" s="172"/>
      <c r="W222" s="172"/>
      <c r="X222" s="172"/>
      <c r="Y222" s="172"/>
      <c r="Z222" s="172"/>
      <c r="AA222" s="172"/>
    </row>
    <row r="223" spans="2:27" ht="26" customHeight="1" thickBot="1" x14ac:dyDescent="0.25">
      <c r="B223" s="210" t="s">
        <v>122</v>
      </c>
      <c r="C223" s="210"/>
      <c r="D223" s="210"/>
      <c r="E223" s="196" t="s">
        <v>123</v>
      </c>
      <c r="F223" s="196"/>
      <c r="G223" s="196"/>
      <c r="H223" s="196" t="s">
        <v>124</v>
      </c>
      <c r="I223" s="196"/>
      <c r="J223" s="210" t="s">
        <v>125</v>
      </c>
      <c r="K223" s="210"/>
      <c r="L223" s="196" t="s">
        <v>126</v>
      </c>
      <c r="M223" s="196"/>
      <c r="N223" s="195" t="s">
        <v>115</v>
      </c>
      <c r="O223" s="195"/>
      <c r="P223" s="172"/>
      <c r="Q223" s="197" t="s">
        <v>127</v>
      </c>
      <c r="R223" s="197" t="s">
        <v>128</v>
      </c>
      <c r="S223" s="198" t="s">
        <v>129</v>
      </c>
      <c r="T223" s="198" t="s">
        <v>130</v>
      </c>
    </row>
    <row r="224" spans="2:27" ht="28.95" customHeight="1" thickBot="1" x14ac:dyDescent="0.25">
      <c r="B224" s="199"/>
      <c r="C224" s="200"/>
      <c r="D224" s="200"/>
      <c r="E224" s="201"/>
      <c r="F224" s="202"/>
      <c r="G224" s="203"/>
      <c r="H224" s="201"/>
      <c r="I224" s="203"/>
      <c r="J224" s="201"/>
      <c r="K224" s="203"/>
      <c r="L224" s="201"/>
      <c r="M224" s="203"/>
      <c r="N224" s="204">
        <f t="shared" ref="N224:N229" si="2">PRODUCT(E224:M224)</f>
        <v>0</v>
      </c>
      <c r="O224" s="205"/>
      <c r="P224" s="172"/>
      <c r="Q224" s="214" t="s">
        <v>131</v>
      </c>
      <c r="R224" s="211" t="s">
        <v>132</v>
      </c>
      <c r="S224" s="211" t="s">
        <v>133</v>
      </c>
      <c r="T224" s="211" t="s">
        <v>134</v>
      </c>
      <c r="U224" s="212"/>
    </row>
    <row r="225" spans="1:21" ht="31.2" customHeight="1" thickBot="1" x14ac:dyDescent="0.25">
      <c r="B225" s="199"/>
      <c r="C225" s="200"/>
      <c r="D225" s="200"/>
      <c r="E225" s="201"/>
      <c r="F225" s="202"/>
      <c r="G225" s="203"/>
      <c r="H225" s="201"/>
      <c r="I225" s="203"/>
      <c r="J225" s="201"/>
      <c r="K225" s="203"/>
      <c r="L225" s="201"/>
      <c r="M225" s="203"/>
      <c r="N225" s="207">
        <f t="shared" si="2"/>
        <v>0</v>
      </c>
      <c r="O225" s="208"/>
      <c r="P225" s="172"/>
      <c r="Q225" s="214" t="s">
        <v>135</v>
      </c>
      <c r="R225" s="211" t="s">
        <v>136</v>
      </c>
      <c r="S225" s="213" t="s">
        <v>137</v>
      </c>
      <c r="T225" s="211" t="s">
        <v>138</v>
      </c>
      <c r="U225" s="212"/>
    </row>
    <row r="226" spans="1:21" ht="34.15" thickBot="1" x14ac:dyDescent="0.25">
      <c r="B226" s="199"/>
      <c r="C226" s="200"/>
      <c r="D226" s="200"/>
      <c r="E226" s="201"/>
      <c r="F226" s="202"/>
      <c r="G226" s="203"/>
      <c r="H226" s="201"/>
      <c r="I226" s="203"/>
      <c r="J226" s="201"/>
      <c r="K226" s="203"/>
      <c r="L226" s="201"/>
      <c r="M226" s="203"/>
      <c r="N226" s="204">
        <f t="shared" si="2"/>
        <v>0</v>
      </c>
      <c r="O226" s="205"/>
      <c r="P226" s="172"/>
      <c r="Q226" s="214" t="s">
        <v>139</v>
      </c>
      <c r="R226" s="213" t="s">
        <v>140</v>
      </c>
      <c r="S226" s="213" t="s">
        <v>141</v>
      </c>
      <c r="T226" s="211" t="s">
        <v>142</v>
      </c>
      <c r="U226" s="212"/>
    </row>
    <row r="227" spans="1:21" ht="23.05" customHeight="1" thickBot="1" x14ac:dyDescent="0.25">
      <c r="B227" s="199"/>
      <c r="C227" s="200"/>
      <c r="D227" s="200"/>
      <c r="E227" s="201"/>
      <c r="F227" s="202"/>
      <c r="G227" s="203"/>
      <c r="H227" s="201"/>
      <c r="I227" s="203"/>
      <c r="J227" s="201"/>
      <c r="K227" s="203"/>
      <c r="L227" s="201"/>
      <c r="M227" s="203"/>
      <c r="N227" s="209">
        <f t="shared" si="2"/>
        <v>0</v>
      </c>
      <c r="O227" s="206"/>
      <c r="P227" s="172"/>
      <c r="Q227" s="172"/>
      <c r="R227" s="172"/>
      <c r="S227" s="172"/>
      <c r="T227" s="172"/>
    </row>
    <row r="228" spans="1:21" ht="26" customHeight="1" thickBot="1" x14ac:dyDescent="0.25">
      <c r="B228" s="199"/>
      <c r="C228" s="200"/>
      <c r="D228" s="200"/>
      <c r="E228" s="201"/>
      <c r="F228" s="202"/>
      <c r="G228" s="203"/>
      <c r="H228" s="201"/>
      <c r="I228" s="203"/>
      <c r="J228" s="201"/>
      <c r="K228" s="203"/>
      <c r="L228" s="201"/>
      <c r="M228" s="203"/>
      <c r="N228" s="207">
        <f t="shared" si="2"/>
        <v>0</v>
      </c>
      <c r="O228" s="208"/>
      <c r="P228" s="172"/>
      <c r="Q228" s="172"/>
      <c r="R228" s="172"/>
      <c r="S228" s="172"/>
      <c r="T228" s="172"/>
    </row>
    <row r="229" spans="1:21" ht="24.5" customHeight="1" thickBot="1" x14ac:dyDescent="0.25">
      <c r="B229" s="199"/>
      <c r="C229" s="200"/>
      <c r="D229" s="200"/>
      <c r="E229" s="201"/>
      <c r="F229" s="202"/>
      <c r="G229" s="203"/>
      <c r="H229" s="201"/>
      <c r="I229" s="203"/>
      <c r="J229" s="201"/>
      <c r="K229" s="203"/>
      <c r="L229" s="201"/>
      <c r="M229" s="203"/>
      <c r="N229" s="209">
        <f t="shared" si="2"/>
        <v>0</v>
      </c>
      <c r="O229" s="206"/>
      <c r="P229" s="172"/>
      <c r="Q229" s="172"/>
      <c r="R229" s="172"/>
      <c r="S229" s="172"/>
      <c r="T229" s="172"/>
    </row>
    <row r="231" spans="1:21" s="87" customFormat="1" x14ac:dyDescent="0.2">
      <c r="A231" s="137" t="s">
        <v>143</v>
      </c>
      <c r="B231" s="137"/>
      <c r="C231" s="137"/>
      <c r="D231" s="137"/>
      <c r="E231" s="137"/>
      <c r="F231" s="137"/>
    </row>
    <row r="232" spans="1:21" s="87" customFormat="1" x14ac:dyDescent="0.2">
      <c r="A232" s="137"/>
      <c r="B232" s="137"/>
      <c r="C232" s="137"/>
      <c r="D232" s="137"/>
      <c r="E232" s="137"/>
      <c r="F232" s="137"/>
    </row>
    <row r="234" spans="1:21" ht="11.15" customHeight="1" x14ac:dyDescent="0.2">
      <c r="B234" s="140" t="s">
        <v>144</v>
      </c>
      <c r="C234" s="140"/>
      <c r="D234" s="140"/>
      <c r="E234" s="140"/>
      <c r="F234" s="140"/>
      <c r="G234" s="140"/>
      <c r="H234" s="140"/>
      <c r="I234" s="140"/>
      <c r="J234" s="140"/>
      <c r="K234" s="140"/>
    </row>
    <row r="235" spans="1:21" ht="11.15" customHeight="1" x14ac:dyDescent="0.2">
      <c r="B235" s="140"/>
      <c r="C235" s="140"/>
      <c r="D235" s="140"/>
      <c r="E235" s="140"/>
      <c r="F235" s="140"/>
      <c r="G235" s="140"/>
      <c r="H235" s="140"/>
      <c r="I235" s="140"/>
      <c r="J235" s="140"/>
      <c r="K235" s="140"/>
    </row>
    <row r="236" spans="1:21" ht="11.15" customHeight="1" x14ac:dyDescent="0.2">
      <c r="B236" s="140"/>
      <c r="C236" s="140"/>
      <c r="D236" s="140"/>
      <c r="E236" s="140"/>
      <c r="F236" s="140"/>
      <c r="G236" s="140"/>
      <c r="H236" s="140"/>
      <c r="I236" s="140"/>
      <c r="J236" s="140"/>
      <c r="K236" s="140"/>
    </row>
    <row r="237" spans="1:21" ht="11.15" customHeight="1" x14ac:dyDescent="0.2">
      <c r="B237" s="140"/>
      <c r="C237" s="140"/>
      <c r="D237" s="140"/>
      <c r="E237" s="140"/>
      <c r="F237" s="140"/>
      <c r="G237" s="140"/>
      <c r="H237" s="140"/>
      <c r="I237" s="140"/>
      <c r="J237" s="140"/>
      <c r="K237" s="140"/>
    </row>
    <row r="238" spans="1:21" ht="11.15" customHeight="1" x14ac:dyDescent="0.2">
      <c r="B238" s="140"/>
      <c r="C238" s="140"/>
      <c r="D238" s="140"/>
      <c r="E238" s="140"/>
      <c r="F238" s="140"/>
      <c r="G238" s="140"/>
      <c r="H238" s="140"/>
      <c r="I238" s="140"/>
      <c r="J238" s="140"/>
      <c r="K238" s="140"/>
    </row>
    <row r="239" spans="1:21" ht="38.6" customHeight="1" x14ac:dyDescent="0.2">
      <c r="B239" s="140"/>
      <c r="C239" s="140"/>
      <c r="D239" s="140"/>
      <c r="E239" s="140"/>
      <c r="F239" s="140"/>
      <c r="G239" s="140"/>
      <c r="H239" s="140"/>
      <c r="I239" s="140"/>
      <c r="J239" s="140"/>
      <c r="K239" s="140"/>
    </row>
    <row r="242" spans="1:12" ht="16.350000000000001" thickBot="1" x14ac:dyDescent="0.3">
      <c r="B242" s="215" t="s">
        <v>145</v>
      </c>
      <c r="C242" s="80"/>
      <c r="D242" s="80"/>
      <c r="E242" s="80"/>
      <c r="F242" s="80"/>
      <c r="G242" s="80"/>
      <c r="H242" s="216" t="s">
        <v>146</v>
      </c>
    </row>
    <row r="243" spans="1:12" ht="16.350000000000001" thickBot="1" x14ac:dyDescent="0.25">
      <c r="B243" s="217" t="s">
        <v>147</v>
      </c>
      <c r="C243" s="218" t="s">
        <v>148</v>
      </c>
      <c r="D243" s="219" t="s">
        <v>149</v>
      </c>
      <c r="E243" s="219" t="s">
        <v>150</v>
      </c>
      <c r="F243" s="219" t="s">
        <v>151</v>
      </c>
      <c r="G243" s="219" t="s">
        <v>152</v>
      </c>
      <c r="H243" s="220" t="s">
        <v>153</v>
      </c>
      <c r="J243" s="225" t="s">
        <v>154</v>
      </c>
    </row>
    <row r="244" spans="1:12" ht="28.95" customHeight="1" thickBot="1" x14ac:dyDescent="0.25">
      <c r="B244" s="221"/>
      <c r="C244" s="222"/>
      <c r="D244" s="223"/>
      <c r="E244" s="223"/>
      <c r="F244" s="223"/>
      <c r="G244" s="223"/>
      <c r="H244" s="222"/>
    </row>
    <row r="245" spans="1:12" ht="31.95" customHeight="1" thickBot="1" x14ac:dyDescent="0.25">
      <c r="B245" s="221"/>
      <c r="C245" s="222"/>
      <c r="D245" s="222"/>
      <c r="E245" s="222"/>
      <c r="F245" s="222"/>
      <c r="G245" s="222"/>
      <c r="H245" s="222"/>
    </row>
    <row r="246" spans="1:12" ht="31.2" customHeight="1" thickBot="1" x14ac:dyDescent="0.25">
      <c r="B246" s="221"/>
      <c r="C246" s="222"/>
      <c r="D246" s="224"/>
      <c r="E246" s="224"/>
      <c r="F246" s="224"/>
      <c r="G246" s="224"/>
      <c r="H246" s="224"/>
    </row>
    <row r="248" spans="1:12" s="87" customFormat="1" x14ac:dyDescent="0.2">
      <c r="A248" s="137" t="s">
        <v>155</v>
      </c>
      <c r="B248" s="137"/>
      <c r="C248" s="137"/>
      <c r="D248" s="137"/>
      <c r="E248" s="137"/>
      <c r="F248" s="137"/>
    </row>
    <row r="249" spans="1:12" s="87" customFormat="1" x14ac:dyDescent="0.2">
      <c r="A249" s="137"/>
      <c r="B249" s="137"/>
      <c r="C249" s="137"/>
      <c r="D249" s="137"/>
      <c r="E249" s="137"/>
      <c r="F249" s="137"/>
    </row>
    <row r="252" spans="1:12" ht="15.6" x14ac:dyDescent="0.25">
      <c r="B252" s="226" t="s">
        <v>156</v>
      </c>
    </row>
    <row r="253" spans="1:12" ht="11.15" customHeight="1" x14ac:dyDescent="0.2">
      <c r="B253" s="140" t="s">
        <v>157</v>
      </c>
      <c r="C253" s="140"/>
      <c r="D253" s="140"/>
      <c r="E253" s="140"/>
      <c r="F253" s="140"/>
      <c r="G253" s="140"/>
      <c r="H253" s="140"/>
      <c r="I253" s="140"/>
      <c r="J253" s="140"/>
      <c r="K253" s="140"/>
      <c r="L253" s="140"/>
    </row>
    <row r="254" spans="1:12" ht="11.15" customHeight="1" x14ac:dyDescent="0.2">
      <c r="B254" s="140"/>
      <c r="C254" s="140"/>
      <c r="D254" s="140"/>
      <c r="E254" s="140"/>
      <c r="F254" s="140"/>
      <c r="G254" s="140"/>
      <c r="H254" s="140"/>
      <c r="I254" s="140"/>
      <c r="J254" s="140"/>
      <c r="K254" s="140"/>
      <c r="L254" s="140"/>
    </row>
    <row r="255" spans="1:12" ht="11.15" customHeight="1" x14ac:dyDescent="0.2">
      <c r="B255" s="140"/>
      <c r="C255" s="140"/>
      <c r="D255" s="140"/>
      <c r="E255" s="140"/>
      <c r="F255" s="140"/>
      <c r="G255" s="140"/>
      <c r="H255" s="140"/>
      <c r="I255" s="140"/>
      <c r="J255" s="140"/>
      <c r="K255" s="140"/>
      <c r="L255" s="140"/>
    </row>
    <row r="256" spans="1:12" ht="11.15" customHeight="1" x14ac:dyDescent="0.2">
      <c r="B256" s="140"/>
      <c r="C256" s="140"/>
      <c r="D256" s="140"/>
      <c r="E256" s="140"/>
      <c r="F256" s="140"/>
      <c r="G256" s="140"/>
      <c r="H256" s="140"/>
      <c r="I256" s="140"/>
      <c r="J256" s="140"/>
      <c r="K256" s="140"/>
      <c r="L256" s="140"/>
    </row>
    <row r="257" spans="2:12" ht="11.15" customHeight="1" x14ac:dyDescent="0.2">
      <c r="B257" s="140"/>
      <c r="C257" s="140"/>
      <c r="D257" s="140"/>
      <c r="E257" s="140"/>
      <c r="F257" s="140"/>
      <c r="G257" s="140"/>
      <c r="H257" s="140"/>
      <c r="I257" s="140"/>
      <c r="J257" s="140"/>
      <c r="K257" s="140"/>
      <c r="L257" s="140"/>
    </row>
    <row r="258" spans="2:12" ht="11.15" customHeight="1" x14ac:dyDescent="0.2">
      <c r="B258" s="140"/>
      <c r="C258" s="140"/>
      <c r="D258" s="140"/>
      <c r="E258" s="140"/>
      <c r="F258" s="140"/>
      <c r="G258" s="140"/>
      <c r="H258" s="140"/>
      <c r="I258" s="140"/>
      <c r="J258" s="140"/>
      <c r="K258" s="140"/>
      <c r="L258" s="140"/>
    </row>
    <row r="259" spans="2:12" ht="27.5" customHeight="1" x14ac:dyDescent="0.2">
      <c r="B259" s="140"/>
      <c r="C259" s="140"/>
      <c r="D259" s="140"/>
      <c r="E259" s="140"/>
      <c r="F259" s="140"/>
      <c r="G259" s="140"/>
      <c r="H259" s="140"/>
      <c r="I259" s="140"/>
      <c r="J259" s="140"/>
      <c r="K259" s="140"/>
      <c r="L259" s="140"/>
    </row>
    <row r="261" spans="2:12" ht="15.6" x14ac:dyDescent="0.25">
      <c r="B261" s="228" t="s">
        <v>158</v>
      </c>
      <c r="C261" s="229" t="s">
        <v>159</v>
      </c>
      <c r="D261" s="230"/>
      <c r="E261" s="230"/>
      <c r="F261" s="230"/>
      <c r="G261" s="230"/>
      <c r="H261" s="231"/>
      <c r="I261" s="232" t="s">
        <v>160</v>
      </c>
      <c r="J261" s="80"/>
      <c r="K261" s="80"/>
      <c r="L261" s="80"/>
    </row>
    <row r="262" spans="2:12" ht="47.5" thickBot="1" x14ac:dyDescent="0.3">
      <c r="B262" s="233"/>
      <c r="C262" s="234" t="s">
        <v>161</v>
      </c>
      <c r="D262" s="234" t="s">
        <v>162</v>
      </c>
      <c r="E262" s="234" t="s">
        <v>163</v>
      </c>
      <c r="F262" s="234" t="s">
        <v>164</v>
      </c>
      <c r="G262" s="234" t="s">
        <v>165</v>
      </c>
      <c r="H262" s="235" t="s">
        <v>166</v>
      </c>
      <c r="I262" s="236"/>
      <c r="J262" s="80"/>
      <c r="K262" s="80"/>
      <c r="L262" s="80"/>
    </row>
    <row r="263" spans="2:12" ht="30.45" thickBot="1" x14ac:dyDescent="0.3">
      <c r="B263" s="222"/>
      <c r="C263" s="237"/>
      <c r="D263" s="237"/>
      <c r="E263" s="237"/>
      <c r="F263" s="237"/>
      <c r="G263" s="237"/>
      <c r="H263" s="238"/>
      <c r="I263" s="239" t="s">
        <v>167</v>
      </c>
      <c r="J263" s="80"/>
      <c r="K263" s="243" t="s">
        <v>168</v>
      </c>
      <c r="L263" s="244" t="s">
        <v>159</v>
      </c>
    </row>
    <row r="264" spans="2:12" ht="30.45" thickBot="1" x14ac:dyDescent="0.3">
      <c r="B264" s="222"/>
      <c r="C264" s="240"/>
      <c r="D264" s="240"/>
      <c r="E264" s="240"/>
      <c r="F264" s="240"/>
      <c r="G264" s="240"/>
      <c r="H264" s="238"/>
      <c r="I264" s="239" t="s">
        <v>167</v>
      </c>
      <c r="J264" s="80"/>
      <c r="K264" s="245" t="s">
        <v>169</v>
      </c>
      <c r="L264" s="245" t="s">
        <v>170</v>
      </c>
    </row>
    <row r="265" spans="2:12" ht="30.45" thickBot="1" x14ac:dyDescent="0.3">
      <c r="B265" s="241"/>
      <c r="C265" s="227"/>
      <c r="D265" s="227"/>
      <c r="E265" s="227"/>
      <c r="F265" s="227"/>
      <c r="G265" s="227"/>
      <c r="H265" s="238"/>
      <c r="I265" s="242" t="s">
        <v>167</v>
      </c>
      <c r="J265" s="80"/>
      <c r="K265" s="246" t="s">
        <v>171</v>
      </c>
      <c r="L265" s="246" t="s">
        <v>172</v>
      </c>
    </row>
    <row r="266" spans="2:12" ht="29.7" x14ac:dyDescent="0.25">
      <c r="B266" s="241"/>
      <c r="C266" s="227"/>
      <c r="D266" s="227"/>
      <c r="E266" s="227"/>
      <c r="F266" s="227"/>
      <c r="G266" s="227"/>
      <c r="H266" s="238"/>
      <c r="I266" s="242" t="s">
        <v>167</v>
      </c>
      <c r="J266" s="80"/>
      <c r="K266" s="246" t="s">
        <v>173</v>
      </c>
      <c r="L266" s="246" t="s">
        <v>174</v>
      </c>
    </row>
    <row r="268" spans="2:12" ht="15.6" x14ac:dyDescent="0.25">
      <c r="B268" s="226" t="s">
        <v>175</v>
      </c>
    </row>
    <row r="269" spans="2:12" ht="11.15" customHeight="1" x14ac:dyDescent="0.2">
      <c r="B269" s="140" t="s">
        <v>176</v>
      </c>
      <c r="C269" s="140"/>
      <c r="D269" s="140"/>
      <c r="E269" s="140"/>
      <c r="F269" s="140"/>
      <c r="G269" s="140"/>
      <c r="H269" s="140"/>
      <c r="I269" s="140"/>
      <c r="J269" s="140"/>
    </row>
    <row r="270" spans="2:12" ht="11.15" customHeight="1" x14ac:dyDescent="0.2">
      <c r="B270" s="140"/>
      <c r="C270" s="140"/>
      <c r="D270" s="140"/>
      <c r="E270" s="140"/>
      <c r="F270" s="140"/>
      <c r="G270" s="140"/>
      <c r="H270" s="140"/>
      <c r="I270" s="140"/>
      <c r="J270" s="140"/>
    </row>
    <row r="271" spans="2:12" ht="11.15" customHeight="1" x14ac:dyDescent="0.2">
      <c r="B271" s="140"/>
      <c r="C271" s="140"/>
      <c r="D271" s="140"/>
      <c r="E271" s="140"/>
      <c r="F271" s="140"/>
      <c r="G271" s="140"/>
      <c r="H271" s="140"/>
      <c r="I271" s="140"/>
      <c r="J271" s="140"/>
    </row>
    <row r="272" spans="2:12" ht="11.15" customHeight="1" x14ac:dyDescent="0.2">
      <c r="B272" s="140"/>
      <c r="C272" s="140"/>
      <c r="D272" s="140"/>
      <c r="E272" s="140"/>
      <c r="F272" s="140"/>
      <c r="G272" s="140"/>
      <c r="H272" s="140"/>
      <c r="I272" s="140"/>
      <c r="J272" s="140"/>
    </row>
    <row r="273" spans="1:10" ht="11.15" customHeight="1" x14ac:dyDescent="0.2">
      <c r="B273" s="140"/>
      <c r="C273" s="140"/>
      <c r="D273" s="140"/>
      <c r="E273" s="140"/>
      <c r="F273" s="140"/>
      <c r="G273" s="140"/>
      <c r="H273" s="140"/>
      <c r="I273" s="140"/>
      <c r="J273" s="140"/>
    </row>
    <row r="274" spans="1:10" ht="11.15" customHeight="1" x14ac:dyDescent="0.2">
      <c r="B274" s="140"/>
      <c r="C274" s="140"/>
      <c r="D274" s="140"/>
      <c r="E274" s="140"/>
      <c r="F274" s="140"/>
      <c r="G274" s="140"/>
      <c r="H274" s="140"/>
      <c r="I274" s="140"/>
      <c r="J274" s="140"/>
    </row>
    <row r="275" spans="1:10" ht="25.25" customHeight="1" x14ac:dyDescent="0.2">
      <c r="B275" s="140"/>
      <c r="C275" s="140"/>
      <c r="D275" s="140"/>
      <c r="E275" s="140"/>
      <c r="F275" s="140"/>
      <c r="G275" s="140"/>
      <c r="H275" s="140"/>
      <c r="I275" s="140"/>
      <c r="J275" s="140"/>
    </row>
    <row r="276" spans="1:10" ht="13.4" customHeight="1" x14ac:dyDescent="0.2"/>
    <row r="277" spans="1:10" ht="49.75" customHeight="1" x14ac:dyDescent="0.2">
      <c r="B277" s="257" t="s">
        <v>177</v>
      </c>
      <c r="C277" s="258" t="s">
        <v>158</v>
      </c>
      <c r="D277" s="259" t="s">
        <v>178</v>
      </c>
      <c r="E277" s="260" t="s">
        <v>179</v>
      </c>
      <c r="F277" s="258" t="s">
        <v>180</v>
      </c>
      <c r="G277" s="258" t="s">
        <v>181</v>
      </c>
      <c r="H277" s="258" t="s">
        <v>182</v>
      </c>
      <c r="I277" s="258" t="s">
        <v>183</v>
      </c>
    </row>
    <row r="278" spans="1:10" ht="15.6" x14ac:dyDescent="0.2">
      <c r="B278" s="247"/>
      <c r="C278" s="248"/>
      <c r="D278" s="249"/>
      <c r="E278" s="249"/>
      <c r="F278" s="250"/>
      <c r="G278" s="251" t="s">
        <v>184</v>
      </c>
      <c r="H278" s="249"/>
      <c r="I278" s="252"/>
    </row>
    <row r="279" spans="1:10" ht="15.6" x14ac:dyDescent="0.2">
      <c r="B279" s="253"/>
      <c r="C279" s="248"/>
      <c r="D279" s="249"/>
      <c r="E279" s="249"/>
      <c r="F279" s="250"/>
      <c r="G279" s="251" t="s">
        <v>185</v>
      </c>
      <c r="H279" s="249"/>
      <c r="I279" s="252"/>
    </row>
    <row r="280" spans="1:10" ht="15.6" x14ac:dyDescent="0.2">
      <c r="B280" s="253"/>
      <c r="C280" s="254"/>
      <c r="D280" s="255"/>
      <c r="E280" s="249"/>
      <c r="F280" s="250"/>
      <c r="G280" s="251" t="s">
        <v>185</v>
      </c>
      <c r="H280" s="249"/>
      <c r="I280" s="252"/>
    </row>
    <row r="281" spans="1:10" ht="15.6" x14ac:dyDescent="0.2">
      <c r="B281" s="253"/>
      <c r="C281" s="254"/>
      <c r="D281" s="256"/>
      <c r="E281" s="249"/>
      <c r="F281" s="250"/>
      <c r="G281" s="251" t="s">
        <v>185</v>
      </c>
      <c r="H281" s="249"/>
      <c r="I281" s="252"/>
    </row>
    <row r="282" spans="1:10" ht="15.6" x14ac:dyDescent="0.2">
      <c r="B282" s="247"/>
      <c r="C282" s="254"/>
      <c r="D282" s="256"/>
      <c r="E282" s="256"/>
      <c r="F282" s="250"/>
      <c r="G282" s="251" t="s">
        <v>185</v>
      </c>
      <c r="H282" s="249"/>
      <c r="I282" s="252"/>
    </row>
    <row r="284" spans="1:10" s="87" customFormat="1" x14ac:dyDescent="0.2">
      <c r="A284" s="261" t="s">
        <v>186</v>
      </c>
      <c r="B284" s="261"/>
      <c r="C284" s="261"/>
      <c r="D284" s="261"/>
      <c r="E284" s="261"/>
    </row>
    <row r="285" spans="1:10" s="87" customFormat="1" x14ac:dyDescent="0.2">
      <c r="A285" s="261"/>
      <c r="B285" s="261"/>
      <c r="C285" s="261"/>
      <c r="D285" s="261"/>
      <c r="E285" s="261"/>
    </row>
  </sheetData>
  <protectedRanges>
    <protectedRange sqref="B161:E161" name="Range2"/>
    <protectedRange sqref="B154:C160" name="Range2_1"/>
    <protectedRange sqref="D154:E160" name="Range1_1"/>
  </protectedRanges>
  <mergeCells count="172">
    <mergeCell ref="A284:E285"/>
    <mergeCell ref="B261:B262"/>
    <mergeCell ref="C261:H261"/>
    <mergeCell ref="I261:I262"/>
    <mergeCell ref="B269:J275"/>
    <mergeCell ref="A231:F232"/>
    <mergeCell ref="B234:K239"/>
    <mergeCell ref="A248:F249"/>
    <mergeCell ref="B253:L259"/>
    <mergeCell ref="J226:K226"/>
    <mergeCell ref="J227:K227"/>
    <mergeCell ref="J228:K228"/>
    <mergeCell ref="J229:K229"/>
    <mergeCell ref="L224:M224"/>
    <mergeCell ref="L225:M225"/>
    <mergeCell ref="L226:M226"/>
    <mergeCell ref="L227:M227"/>
    <mergeCell ref="L228:M228"/>
    <mergeCell ref="L229:M229"/>
    <mergeCell ref="H223:I223"/>
    <mergeCell ref="J223:K223"/>
    <mergeCell ref="L223:M223"/>
    <mergeCell ref="E224:G224"/>
    <mergeCell ref="H224:I224"/>
    <mergeCell ref="H225:I225"/>
    <mergeCell ref="J224:K224"/>
    <mergeCell ref="J225:K225"/>
    <mergeCell ref="N229:O229"/>
    <mergeCell ref="B229:D229"/>
    <mergeCell ref="E229:G229"/>
    <mergeCell ref="H229:I229"/>
    <mergeCell ref="N228:O228"/>
    <mergeCell ref="B228:D228"/>
    <mergeCell ref="E228:G228"/>
    <mergeCell ref="H228:I228"/>
    <mergeCell ref="N227:O227"/>
    <mergeCell ref="B227:D227"/>
    <mergeCell ref="E227:G227"/>
    <mergeCell ref="H227:I227"/>
    <mergeCell ref="N226:O226"/>
    <mergeCell ref="B226:D226"/>
    <mergeCell ref="E226:G226"/>
    <mergeCell ref="H226:I226"/>
    <mergeCell ref="N225:O225"/>
    <mergeCell ref="B225:D225"/>
    <mergeCell ref="E225:G225"/>
    <mergeCell ref="N223:O223"/>
    <mergeCell ref="N224:O224"/>
    <mergeCell ref="B223:D223"/>
    <mergeCell ref="B224:D224"/>
    <mergeCell ref="M197:Q199"/>
    <mergeCell ref="M200:Q203"/>
    <mergeCell ref="B222:L222"/>
    <mergeCell ref="E223:G223"/>
    <mergeCell ref="A170:F171"/>
    <mergeCell ref="B174:W181"/>
    <mergeCell ref="A142:F143"/>
    <mergeCell ref="B146:L150"/>
    <mergeCell ref="A102:F103"/>
    <mergeCell ref="B106:F109"/>
    <mergeCell ref="B112:H114"/>
    <mergeCell ref="A135:F136"/>
    <mergeCell ref="B98:B99"/>
    <mergeCell ref="D95:E95"/>
    <mergeCell ref="D96:E96"/>
    <mergeCell ref="C98:L98"/>
    <mergeCell ref="C99:L99"/>
    <mergeCell ref="D89:E89"/>
    <mergeCell ref="D90:E90"/>
    <mergeCell ref="D91:E91"/>
    <mergeCell ref="D92:E92"/>
    <mergeCell ref="D93:E93"/>
    <mergeCell ref="D94:E94"/>
    <mergeCell ref="D84:E84"/>
    <mergeCell ref="D85:E85"/>
    <mergeCell ref="D86:E86"/>
    <mergeCell ref="D87:E87"/>
    <mergeCell ref="D88:E88"/>
    <mergeCell ref="B70:Q77"/>
    <mergeCell ref="D79:E79"/>
    <mergeCell ref="A67:F68"/>
    <mergeCell ref="C81:F81"/>
    <mergeCell ref="D82:E82"/>
    <mergeCell ref="D83:E83"/>
    <mergeCell ref="L63:O63"/>
    <mergeCell ref="D65:G65"/>
    <mergeCell ref="L55:T55"/>
    <mergeCell ref="L56:T56"/>
    <mergeCell ref="L57:T57"/>
    <mergeCell ref="L58:T58"/>
    <mergeCell ref="L59:T59"/>
    <mergeCell ref="L60:T60"/>
    <mergeCell ref="L61:T61"/>
    <mergeCell ref="L62:T62"/>
    <mergeCell ref="B34:C34"/>
    <mergeCell ref="D63:G63"/>
    <mergeCell ref="D55:G55"/>
    <mergeCell ref="D57:G57"/>
    <mergeCell ref="D58:G58"/>
    <mergeCell ref="D59:G59"/>
    <mergeCell ref="D60:G60"/>
    <mergeCell ref="D61:G61"/>
    <mergeCell ref="D62:G62"/>
    <mergeCell ref="B13:Q18"/>
    <mergeCell ref="A9:F10"/>
    <mergeCell ref="L42:T42"/>
    <mergeCell ref="L41:T41"/>
    <mergeCell ref="L40:T40"/>
    <mergeCell ref="D42:G42"/>
    <mergeCell ref="D41:G41"/>
    <mergeCell ref="D40:G40"/>
    <mergeCell ref="B55:C62"/>
    <mergeCell ref="H55:K62"/>
    <mergeCell ref="D56:G56"/>
    <mergeCell ref="B63:C63"/>
    <mergeCell ref="H63:K63"/>
    <mergeCell ref="B65:C65"/>
    <mergeCell ref="D52:G52"/>
    <mergeCell ref="L52:T52"/>
    <mergeCell ref="D53:G53"/>
    <mergeCell ref="L53:T53"/>
    <mergeCell ref="D54:G54"/>
    <mergeCell ref="L54:T54"/>
    <mergeCell ref="D49:G49"/>
    <mergeCell ref="L49:T49"/>
    <mergeCell ref="D50:G50"/>
    <mergeCell ref="L50:T50"/>
    <mergeCell ref="D51:G51"/>
    <mergeCell ref="L51:T51"/>
    <mergeCell ref="D46:G46"/>
    <mergeCell ref="L46:T46"/>
    <mergeCell ref="D47:G47"/>
    <mergeCell ref="L47:T47"/>
    <mergeCell ref="D48:G48"/>
    <mergeCell ref="L48:T48"/>
    <mergeCell ref="D43:G43"/>
    <mergeCell ref="L43:T43"/>
    <mergeCell ref="D44:G44"/>
    <mergeCell ref="L44:T44"/>
    <mergeCell ref="D45:G45"/>
    <mergeCell ref="L45:T45"/>
    <mergeCell ref="L39:T39"/>
    <mergeCell ref="D34:G34"/>
    <mergeCell ref="L34:T34"/>
    <mergeCell ref="B36:T36"/>
    <mergeCell ref="B37:C54"/>
    <mergeCell ref="D37:G37"/>
    <mergeCell ref="H37:K54"/>
    <mergeCell ref="L37:T37"/>
    <mergeCell ref="D38:G38"/>
    <mergeCell ref="L38:T38"/>
    <mergeCell ref="D39:G39"/>
    <mergeCell ref="D30:T30"/>
    <mergeCell ref="D31:G31"/>
    <mergeCell ref="L31:T31"/>
    <mergeCell ref="D32:G32"/>
    <mergeCell ref="L32:T32"/>
    <mergeCell ref="D33:G33"/>
    <mergeCell ref="L33:T33"/>
    <mergeCell ref="B25:T25"/>
    <mergeCell ref="B26:T26"/>
    <mergeCell ref="B28:T28"/>
    <mergeCell ref="B29:C29"/>
    <mergeCell ref="D29:G29"/>
    <mergeCell ref="H29:K29"/>
    <mergeCell ref="L29:T29"/>
    <mergeCell ref="C20:E20"/>
    <mergeCell ref="G20:J20"/>
    <mergeCell ref="K20:M20"/>
    <mergeCell ref="N20:T20"/>
    <mergeCell ref="B22:T22"/>
    <mergeCell ref="B23:T23"/>
  </mergeCells>
  <conditionalFormatting sqref="F83:F96">
    <cfRule type="cellIs" dxfId="15" priority="15" operator="equal">
      <formula>"NO"</formula>
    </cfRule>
    <cfRule type="cellIs" dxfId="14" priority="16" operator="equal">
      <formula>"YES"</formula>
    </cfRule>
  </conditionalFormatting>
  <conditionalFormatting sqref="F79">
    <cfRule type="cellIs" dxfId="13" priority="12" operator="between">
      <formula>0.5</formula>
      <formula>0.95</formula>
    </cfRule>
    <cfRule type="cellIs" dxfId="12" priority="13" operator="lessThan">
      <formula>0.5</formula>
    </cfRule>
    <cfRule type="cellIs" dxfId="11" priority="14" operator="greaterThan">
      <formula>0.95</formula>
    </cfRule>
  </conditionalFormatting>
  <conditionalFormatting sqref="I263:I266">
    <cfRule type="cellIs" dxfId="10" priority="10" operator="equal">
      <formula>"NO"</formula>
    </cfRule>
    <cfRule type="cellIs" dxfId="9" priority="11" operator="equal">
      <formula>"YES"</formula>
    </cfRule>
  </conditionalFormatting>
  <conditionalFormatting sqref="D282:F282 B279:B281 D279:D281">
    <cfRule type="cellIs" dxfId="8" priority="8" operator="equal">
      <formula>"On Track"</formula>
    </cfRule>
    <cfRule type="cellIs" dxfId="7" priority="9" operator="equal">
      <formula>"Overdue"</formula>
    </cfRule>
  </conditionalFormatting>
  <conditionalFormatting sqref="E278:E281">
    <cfRule type="cellIs" dxfId="6" priority="6" operator="equal">
      <formula>"On Track"</formula>
    </cfRule>
    <cfRule type="cellIs" dxfId="5" priority="7" operator="equal">
      <formula>"Overdue"</formula>
    </cfRule>
  </conditionalFormatting>
  <conditionalFormatting sqref="F278:F281">
    <cfRule type="cellIs" dxfId="4" priority="4" operator="equal">
      <formula>"On Track"</formula>
    </cfRule>
    <cfRule type="cellIs" dxfId="3" priority="5" operator="equal">
      <formula>"Overdue"</formula>
    </cfRule>
  </conditionalFormatting>
  <conditionalFormatting sqref="G278:G282">
    <cfRule type="containsText" dxfId="2" priority="1" operator="containsText" text="Retrasado">
      <formula>NOT(ISERROR(SEARCH("Retrasado",G278)))</formula>
    </cfRule>
    <cfRule type="containsText" dxfId="1" priority="2" operator="containsText" text="En progreso">
      <formula>NOT(ISERROR(SEARCH("En progreso",G278)))</formula>
    </cfRule>
    <cfRule type="containsText" dxfId="0" priority="3" operator="containsText" text="No se ha iniciado">
      <formula>NOT(ISERROR(SEARCH("No se ha iniciado",G278)))</formula>
    </cfRule>
  </conditionalFormatting>
  <dataValidations count="5">
    <dataValidation type="date" allowBlank="1" showInputMessage="1" showErrorMessage="1" sqref="N20:T20" xr:uid="{02D4EA48-F322-4BA6-BDC7-C50919C8D634}">
      <formula1>42736</formula1>
      <formula2>55123</formula2>
    </dataValidation>
    <dataValidation type="list" allowBlank="1" showInputMessage="1" showErrorMessage="1" sqref="L33:T33" xr:uid="{6C213EC4-8433-46D6-B6DD-78F62769322F}">
      <formula1>"higher,lower"</formula1>
    </dataValidation>
    <dataValidation type="list" allowBlank="1" showInputMessage="1" showErrorMessage="1" sqref="F83:F96" xr:uid="{DF6205E8-190F-4719-B2FC-4E4AB892DA4F}">
      <formula1>"YES,NO,N/A"</formula1>
    </dataValidation>
    <dataValidation type="list" allowBlank="1" showInputMessage="1" showErrorMessage="1" sqref="I263:I266" xr:uid="{F2F56E7D-2C50-4B51-87C2-542007782CDC}">
      <formula1>"Yes,No"</formula1>
    </dataValidation>
    <dataValidation type="list" allowBlank="1" showInputMessage="1" showErrorMessage="1" sqref="G278:G282" xr:uid="{5C677CC4-16A1-47FD-B57B-36CD5CC2649D}">
      <formula1>"No se ha iniciado, En progreso, Completo, Retrasado"</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2026-08-25T15:30:31Z</dcterms:created>
  <dcterms:modified xsi:type="dcterms:W3CDTF">2026-08-25T18:19:29Z</dcterms:modified>
</cp:coreProperties>
</file>